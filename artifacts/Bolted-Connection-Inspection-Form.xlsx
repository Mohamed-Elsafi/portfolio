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9545B311-1116-4F0D-81E8-883519A232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RID  A-DET1" sheetId="2" r:id="rId1"/>
    <sheet name="GRID A-DET2" sheetId="11" r:id="rId2"/>
    <sheet name="GRID  A -DET1 BOLT TIGHT" sheetId="9" r:id="rId3"/>
    <sheet name="GRID  A -DET2 BOLT TIGHT " sheetId="13" r:id="rId4"/>
  </sheets>
  <definedNames>
    <definedName name="_xlnm.Print_Area" localSheetId="2">'GRID  A -DET1 BOLT TIGHT'!$A$1:$M$48</definedName>
    <definedName name="_xlnm.Print_Area" localSheetId="3">'GRID  A -DET2 BOLT TIGHT '!$A$1:$M$44</definedName>
    <definedName name="_xlnm.Print_Area" localSheetId="1">'GRID A-DET2'!$A$1:$N$80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3" l="1"/>
  <c r="J26" i="13"/>
  <c r="J17" i="13"/>
  <c r="J40" i="9"/>
  <c r="J25" i="9"/>
  <c r="J31" i="9"/>
  <c r="J17" i="9"/>
  <c r="K80" i="2"/>
  <c r="B80" i="2"/>
</calcChain>
</file>

<file path=xl/sharedStrings.xml><?xml version="1.0" encoding="utf-8"?>
<sst xmlns="http://schemas.openxmlformats.org/spreadsheetml/2006/main" count="201" uniqueCount="68">
  <si>
    <t xml:space="preserve">Mark No. </t>
  </si>
  <si>
    <t>Deformation</t>
  </si>
  <si>
    <t>Accept</t>
  </si>
  <si>
    <t>Reject</t>
  </si>
  <si>
    <t>Torque Value</t>
  </si>
  <si>
    <t>Protrusion</t>
  </si>
  <si>
    <t>Remarks</t>
  </si>
  <si>
    <t xml:space="preserve">CONTRACTOR: </t>
  </si>
  <si>
    <t xml:space="preserve">PROJECT: </t>
  </si>
  <si>
    <t>CLIENT:</t>
  </si>
  <si>
    <t xml:space="preserve">Detail No. </t>
  </si>
  <si>
    <t xml:space="preserve">Connection Description </t>
  </si>
  <si>
    <t>L</t>
  </si>
  <si>
    <t>W</t>
  </si>
  <si>
    <t>T</t>
  </si>
  <si>
    <t>Bolts</t>
  </si>
  <si>
    <t>ø</t>
  </si>
  <si>
    <t>qty.</t>
  </si>
  <si>
    <t>DETAIL -1</t>
  </si>
  <si>
    <t>Notes:</t>
  </si>
  <si>
    <t>Plate (mm)</t>
  </si>
  <si>
    <t>Type of Connection (shear/moment)</t>
  </si>
  <si>
    <t>Beam/Column</t>
  </si>
  <si>
    <t>Beam to Column</t>
  </si>
  <si>
    <t>Status</t>
  </si>
  <si>
    <t>DATE:</t>
  </si>
  <si>
    <t>REF: No.</t>
  </si>
  <si>
    <t>PREPARED BY:</t>
  </si>
  <si>
    <t>APPROVED BY:</t>
  </si>
  <si>
    <t>1-a</t>
  </si>
  <si>
    <t>DETAIL -2</t>
  </si>
  <si>
    <t>2-a</t>
  </si>
  <si>
    <t>2-b</t>
  </si>
  <si>
    <t>1-c</t>
  </si>
  <si>
    <t>2-c</t>
  </si>
  <si>
    <t xml:space="preserve">1A </t>
  </si>
  <si>
    <t xml:space="preserve">2A </t>
  </si>
  <si>
    <t>2C</t>
  </si>
  <si>
    <r>
      <t>1</t>
    </r>
    <r>
      <rPr>
        <b/>
        <sz val="14"/>
        <color theme="1"/>
        <rFont val="Arial"/>
        <family val="2"/>
      </rPr>
      <t>-b</t>
    </r>
  </si>
  <si>
    <t xml:space="preserve"> </t>
  </si>
  <si>
    <t>1B</t>
  </si>
  <si>
    <t>Moment</t>
  </si>
  <si>
    <t>B-HEB400</t>
  </si>
  <si>
    <t>C-HEB220</t>
  </si>
  <si>
    <t>B-IPE300</t>
  </si>
  <si>
    <t>B-IPE330</t>
  </si>
  <si>
    <t>C-HEB300</t>
  </si>
  <si>
    <t>1C</t>
  </si>
  <si>
    <t xml:space="preserve">2B </t>
  </si>
  <si>
    <t>BOLTED CONNECTION INSPECTION REPORT (GRID A) - LEVEL-02</t>
  </si>
  <si>
    <t>SITE ENGINEER, STRUCTURAL / CIVIL</t>
  </si>
  <si>
    <t>SD-ST-053-R01</t>
  </si>
  <si>
    <t>SD-ST-054-R01</t>
  </si>
  <si>
    <t>TR-01</t>
  </si>
  <si>
    <t>TR-02</t>
  </si>
  <si>
    <t>Average Torque Value</t>
  </si>
  <si>
    <t>Main Contractor</t>
  </si>
  <si>
    <t>Construction of Mixed-use Building</t>
  </si>
  <si>
    <t>DRAWING REF:</t>
  </si>
  <si>
    <t>Client Project Management Team (Riyadh)</t>
  </si>
  <si>
    <t>Client Project Management Team</t>
  </si>
  <si>
    <t>SENIOR QA/QC INSPECTOR, STRUCTURAL / CIVIL</t>
  </si>
  <si>
    <t xml:space="preserve"> (N.m)</t>
  </si>
  <si>
    <t xml:space="preserve">Torque Value (N.m) </t>
  </si>
  <si>
    <t>Weld Size (mm)</t>
  </si>
  <si>
    <t xml:space="preserve">Approximate Torque Value (N.m) </t>
  </si>
  <si>
    <t>Remarks (deviation from approved drawings, deformation and/or protrusion)</t>
  </si>
  <si>
    <t>1B (Cont.)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</si>
</sst>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4"/>
      <color theme="1"/>
      <name val="Arial Black"/>
      <family val="2"/>
    </font>
    <font>
      <b/>
      <sz val="20"/>
      <color theme="1"/>
      <name val="Calibri"/>
      <family val="2"/>
    </font>
    <font>
      <b/>
      <sz val="20"/>
      <color theme="1"/>
      <name val="Arial"/>
      <family val="2"/>
    </font>
    <font>
      <sz val="11"/>
      <color theme="0" tint="-0.499984740745262"/>
      <name val="Arial"/>
      <family val="2"/>
    </font>
    <font>
      <sz val="11"/>
      <color rgb="FFFF0000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0" fontId="6" fillId="4" borderId="18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4" xfId="0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40821</xdr:rowOff>
    </xdr:from>
    <xdr:to>
      <xdr:col>13</xdr:col>
      <xdr:colOff>1877785</xdr:colOff>
      <xdr:row>70</xdr:row>
      <xdr:rowOff>163285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8994321"/>
          <a:ext cx="13756821" cy="9320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19</xdr:row>
      <xdr:rowOff>11906</xdr:rowOff>
    </xdr:from>
    <xdr:to>
      <xdr:col>13</xdr:col>
      <xdr:colOff>2012156</xdr:colOff>
      <xdr:row>72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" y="9120187"/>
          <a:ext cx="13954125" cy="9465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"/>
  <sheetViews>
    <sheetView tabSelected="1" view="pageBreakPreview" zoomScale="70" zoomScaleNormal="85" zoomScaleSheetLayoutView="70" workbookViewId="0">
      <selection activeCell="J12" sqref="J12"/>
    </sheetView>
  </sheetViews>
  <sheetFormatPr defaultRowHeight="14.25" x14ac:dyDescent="0.25"/>
  <cols>
    <col min="1" max="1" width="9.140625" style="1" customWidth="1"/>
    <col min="2" max="2" width="21.28515625" style="1" customWidth="1"/>
    <col min="3" max="3" width="20.28515625" style="1" customWidth="1"/>
    <col min="4" max="4" width="20" style="1" customWidth="1"/>
    <col min="5" max="5" width="17.28515625" style="1" customWidth="1"/>
    <col min="6" max="6" width="12.85546875" style="1" customWidth="1"/>
    <col min="7" max="9" width="9.42578125" style="1" customWidth="1"/>
    <col min="10" max="10" width="10.5703125" style="1" customWidth="1"/>
    <col min="11" max="11" width="9.42578125" style="1" customWidth="1"/>
    <col min="12" max="12" width="14.85546875" style="1" customWidth="1"/>
    <col min="13" max="13" width="14.28515625" style="1" customWidth="1"/>
    <col min="14" max="14" width="30.28515625" style="1" customWidth="1"/>
    <col min="15" max="16384" width="9.140625" style="1"/>
  </cols>
  <sheetData>
    <row r="1" spans="1:14" s="10" customFormat="1" ht="42.75" customHeight="1" x14ac:dyDescent="0.25">
      <c r="A1" s="93" t="s">
        <v>8</v>
      </c>
      <c r="B1" s="93"/>
      <c r="C1" s="93" t="s">
        <v>57</v>
      </c>
      <c r="D1" s="93"/>
      <c r="E1" s="93"/>
      <c r="F1" s="93"/>
      <c r="G1" s="93"/>
      <c r="H1" s="93"/>
      <c r="I1" s="93"/>
      <c r="J1" s="93"/>
      <c r="K1" s="93" t="s">
        <v>25</v>
      </c>
      <c r="L1" s="93"/>
      <c r="M1" s="100">
        <v>46076</v>
      </c>
      <c r="N1" s="100"/>
    </row>
    <row r="2" spans="1:14" s="10" customFormat="1" ht="42.75" customHeight="1" x14ac:dyDescent="0.25">
      <c r="A2" s="11" t="s">
        <v>7</v>
      </c>
      <c r="B2" s="11"/>
      <c r="C2" s="93" t="s">
        <v>56</v>
      </c>
      <c r="D2" s="93"/>
      <c r="E2" s="93"/>
      <c r="F2" s="93"/>
      <c r="G2" s="93"/>
      <c r="H2" s="93"/>
      <c r="I2" s="93"/>
      <c r="J2" s="93"/>
      <c r="K2" s="93" t="s">
        <v>26</v>
      </c>
      <c r="L2" s="93"/>
      <c r="M2" s="95" t="s">
        <v>53</v>
      </c>
      <c r="N2" s="95"/>
    </row>
    <row r="3" spans="1:14" s="12" customFormat="1" ht="42.75" customHeight="1" thickBot="1" x14ac:dyDescent="0.3">
      <c r="A3" s="47" t="s">
        <v>9</v>
      </c>
      <c r="B3" s="17"/>
      <c r="C3" s="94" t="s">
        <v>59</v>
      </c>
      <c r="D3" s="94"/>
      <c r="E3" s="94"/>
      <c r="F3" s="94"/>
      <c r="G3" s="94"/>
      <c r="H3" s="94"/>
      <c r="I3" s="94"/>
      <c r="J3" s="94"/>
      <c r="K3" s="94" t="s">
        <v>58</v>
      </c>
      <c r="L3" s="94"/>
      <c r="M3" s="96" t="s">
        <v>51</v>
      </c>
      <c r="N3" s="96"/>
    </row>
    <row r="4" spans="1:14" s="12" customFormat="1" ht="38.25" customHeight="1" x14ac:dyDescent="0.25">
      <c r="A4" s="4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49"/>
    </row>
    <row r="5" spans="1:14" ht="45.75" customHeight="1" thickBot="1" x14ac:dyDescent="0.3">
      <c r="A5" s="97" t="s">
        <v>49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9"/>
    </row>
    <row r="6" spans="1:14" ht="45.75" customHeight="1" thickBot="1" x14ac:dyDescent="0.3">
      <c r="A6" s="50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51"/>
    </row>
    <row r="7" spans="1:14" s="16" customFormat="1" ht="90" x14ac:dyDescent="0.25">
      <c r="A7" s="13" t="s">
        <v>10</v>
      </c>
      <c r="B7" s="13" t="s">
        <v>11</v>
      </c>
      <c r="C7" s="14" t="s">
        <v>22</v>
      </c>
      <c r="D7" s="13" t="s">
        <v>22</v>
      </c>
      <c r="E7" s="13" t="s">
        <v>21</v>
      </c>
      <c r="F7" s="13" t="s">
        <v>65</v>
      </c>
      <c r="G7" s="107" t="s">
        <v>20</v>
      </c>
      <c r="H7" s="108"/>
      <c r="I7" s="109"/>
      <c r="J7" s="105" t="s">
        <v>15</v>
      </c>
      <c r="K7" s="106"/>
      <c r="L7" s="25" t="s">
        <v>64</v>
      </c>
      <c r="M7" s="15" t="s">
        <v>24</v>
      </c>
      <c r="N7" s="52" t="s">
        <v>66</v>
      </c>
    </row>
    <row r="8" spans="1:14" s="16" customFormat="1" ht="32.25" customHeight="1" x14ac:dyDescent="0.25">
      <c r="A8" s="18"/>
      <c r="B8" s="18"/>
      <c r="C8" s="18"/>
      <c r="D8" s="18"/>
      <c r="E8" s="18"/>
      <c r="F8" s="18"/>
      <c r="G8" s="19" t="s">
        <v>12</v>
      </c>
      <c r="H8" s="19" t="s">
        <v>13</v>
      </c>
      <c r="I8" s="19" t="s">
        <v>14</v>
      </c>
      <c r="J8" s="3" t="s">
        <v>17</v>
      </c>
      <c r="K8" s="30" t="s">
        <v>16</v>
      </c>
      <c r="L8" s="26"/>
      <c r="M8" s="24"/>
      <c r="N8" s="53"/>
    </row>
    <row r="9" spans="1:14" s="16" customFormat="1" ht="32.25" customHeight="1" x14ac:dyDescent="0.25">
      <c r="A9" s="20">
        <v>1</v>
      </c>
      <c r="B9" s="20" t="s">
        <v>23</v>
      </c>
      <c r="C9" s="20"/>
      <c r="D9" s="20"/>
      <c r="E9" s="20"/>
      <c r="F9" s="20"/>
      <c r="G9" s="21"/>
      <c r="H9" s="21"/>
      <c r="I9" s="21"/>
      <c r="J9" s="22"/>
      <c r="K9" s="22"/>
      <c r="L9" s="27"/>
      <c r="M9" s="28"/>
      <c r="N9" s="41"/>
    </row>
    <row r="10" spans="1:14" s="16" customFormat="1" ht="32.25" customHeight="1" x14ac:dyDescent="0.25">
      <c r="A10" s="70" t="s">
        <v>29</v>
      </c>
      <c r="B10" s="70" t="s">
        <v>23</v>
      </c>
      <c r="C10" s="20" t="s">
        <v>42</v>
      </c>
      <c r="D10" s="20" t="s">
        <v>43</v>
      </c>
      <c r="E10" s="20" t="s">
        <v>41</v>
      </c>
      <c r="F10" s="20">
        <v>476</v>
      </c>
      <c r="G10" s="21">
        <v>230</v>
      </c>
      <c r="H10" s="21">
        <v>230</v>
      </c>
      <c r="I10" s="21">
        <v>20</v>
      </c>
      <c r="J10" s="22">
        <v>9</v>
      </c>
      <c r="K10" s="22">
        <v>20</v>
      </c>
      <c r="L10" s="27">
        <v>10</v>
      </c>
      <c r="M10" s="24"/>
      <c r="N10" s="41"/>
    </row>
    <row r="11" spans="1:14" s="16" customFormat="1" ht="32.25" customHeight="1" x14ac:dyDescent="0.25">
      <c r="A11" s="101" t="s">
        <v>38</v>
      </c>
      <c r="B11" s="103" t="s">
        <v>23</v>
      </c>
      <c r="C11" s="20" t="s">
        <v>44</v>
      </c>
      <c r="D11" s="20" t="s">
        <v>43</v>
      </c>
      <c r="E11" s="20" t="s">
        <v>41</v>
      </c>
      <c r="F11" s="20">
        <v>476</v>
      </c>
      <c r="G11" s="21">
        <v>350</v>
      </c>
      <c r="H11" s="21">
        <v>160</v>
      </c>
      <c r="I11" s="21">
        <v>15</v>
      </c>
      <c r="J11" s="22">
        <v>8</v>
      </c>
      <c r="K11" s="22">
        <v>20</v>
      </c>
      <c r="L11" s="27">
        <v>10</v>
      </c>
      <c r="M11" s="24"/>
      <c r="N11" s="41"/>
    </row>
    <row r="12" spans="1:14" s="16" customFormat="1" ht="32.25" customHeight="1" x14ac:dyDescent="0.25">
      <c r="A12" s="102"/>
      <c r="B12" s="104"/>
      <c r="C12" s="20" t="s">
        <v>44</v>
      </c>
      <c r="D12" s="20" t="s">
        <v>43</v>
      </c>
      <c r="E12" s="20" t="s">
        <v>41</v>
      </c>
      <c r="F12" s="20">
        <v>476</v>
      </c>
      <c r="G12" s="21">
        <v>200</v>
      </c>
      <c r="H12" s="21">
        <v>175</v>
      </c>
      <c r="I12" s="21">
        <v>15</v>
      </c>
      <c r="J12" s="22">
        <v>6</v>
      </c>
      <c r="K12" s="22">
        <v>20</v>
      </c>
      <c r="L12" s="27">
        <v>10</v>
      </c>
      <c r="M12" s="24"/>
      <c r="N12" s="41"/>
    </row>
    <row r="13" spans="1:14" s="16" customFormat="1" ht="32.25" customHeight="1" x14ac:dyDescent="0.25">
      <c r="A13" s="101" t="s">
        <v>33</v>
      </c>
      <c r="B13" s="101" t="s">
        <v>23</v>
      </c>
      <c r="C13" s="20" t="s">
        <v>44</v>
      </c>
      <c r="D13" s="20" t="s">
        <v>42</v>
      </c>
      <c r="E13" s="20" t="s">
        <v>41</v>
      </c>
      <c r="F13" s="20">
        <v>476</v>
      </c>
      <c r="G13" s="21">
        <v>230</v>
      </c>
      <c r="H13" s="21">
        <v>230</v>
      </c>
      <c r="I13" s="21">
        <v>20</v>
      </c>
      <c r="J13" s="22">
        <v>9</v>
      </c>
      <c r="K13" s="22">
        <v>20</v>
      </c>
      <c r="L13" s="27">
        <v>10</v>
      </c>
      <c r="M13" s="24"/>
      <c r="N13" s="41"/>
    </row>
    <row r="14" spans="1:14" s="16" customFormat="1" ht="32.25" customHeight="1" x14ac:dyDescent="0.25">
      <c r="A14" s="102"/>
      <c r="B14" s="102"/>
      <c r="C14" s="20" t="s">
        <v>44</v>
      </c>
      <c r="D14" s="20" t="s">
        <v>43</v>
      </c>
      <c r="E14" s="20" t="s">
        <v>41</v>
      </c>
      <c r="F14" s="20"/>
      <c r="G14" s="21">
        <v>187</v>
      </c>
      <c r="H14" s="21">
        <v>105</v>
      </c>
      <c r="I14" s="21">
        <v>10</v>
      </c>
      <c r="J14" s="22"/>
      <c r="K14" s="22"/>
      <c r="L14" s="27">
        <v>10</v>
      </c>
      <c r="M14" s="24"/>
      <c r="N14" s="41"/>
    </row>
    <row r="15" spans="1:14" s="16" customFormat="1" ht="32.25" customHeight="1" x14ac:dyDescent="0.25">
      <c r="A15" s="102"/>
      <c r="B15" s="102"/>
      <c r="C15" s="20" t="s">
        <v>44</v>
      </c>
      <c r="D15" s="20" t="s">
        <v>43</v>
      </c>
      <c r="E15" s="20" t="s">
        <v>41</v>
      </c>
      <c r="F15" s="20"/>
      <c r="G15" s="21">
        <v>187</v>
      </c>
      <c r="H15" s="21">
        <v>105</v>
      </c>
      <c r="I15" s="21">
        <v>10</v>
      </c>
      <c r="J15" s="22"/>
      <c r="K15" s="22"/>
      <c r="L15" s="27">
        <v>10</v>
      </c>
      <c r="M15" s="24"/>
      <c r="N15" s="41"/>
    </row>
    <row r="16" spans="1:14" s="16" customFormat="1" ht="32.25" customHeight="1" x14ac:dyDescent="0.25">
      <c r="A16" s="20"/>
      <c r="B16" s="20"/>
      <c r="C16" s="20"/>
      <c r="D16" s="20"/>
      <c r="E16" s="20"/>
      <c r="F16" s="20"/>
      <c r="G16" s="21"/>
      <c r="H16" s="21"/>
      <c r="I16" s="21"/>
      <c r="J16" s="22"/>
      <c r="K16" s="22" t="s">
        <v>39</v>
      </c>
      <c r="L16" s="27"/>
      <c r="M16" s="28"/>
      <c r="N16" s="41"/>
    </row>
    <row r="17" spans="1:14" s="16" customFormat="1" ht="32.25" customHeight="1" x14ac:dyDescent="0.25">
      <c r="A17" s="20"/>
      <c r="B17" s="20"/>
      <c r="C17" s="20"/>
      <c r="D17" s="20"/>
      <c r="E17" s="20"/>
      <c r="F17" s="20"/>
      <c r="G17" s="21"/>
      <c r="H17" s="21"/>
      <c r="I17" s="21"/>
      <c r="J17" s="22"/>
      <c r="K17" s="22"/>
      <c r="L17" s="27"/>
      <c r="M17" s="18"/>
      <c r="N17" s="41"/>
    </row>
    <row r="18" spans="1:14" s="2" customFormat="1" ht="35.1" customHeight="1" thickBot="1" x14ac:dyDescent="0.3">
      <c r="A18" s="87" t="s">
        <v>18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9"/>
    </row>
    <row r="19" spans="1:14" s="2" customFormat="1" x14ac:dyDescent="0.25">
      <c r="A19" s="5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55"/>
    </row>
    <row r="20" spans="1:14" x14ac:dyDescent="0.25">
      <c r="A20" s="56"/>
      <c r="N20" s="57"/>
    </row>
    <row r="21" spans="1:14" x14ac:dyDescent="0.25">
      <c r="A21" s="56"/>
      <c r="N21" s="57"/>
    </row>
    <row r="22" spans="1:14" x14ac:dyDescent="0.25">
      <c r="A22" s="56"/>
      <c r="N22" s="57"/>
    </row>
    <row r="23" spans="1:14" x14ac:dyDescent="0.25">
      <c r="A23" s="56"/>
      <c r="N23" s="57"/>
    </row>
    <row r="24" spans="1:14" x14ac:dyDescent="0.25">
      <c r="A24" s="56"/>
      <c r="N24" s="57"/>
    </row>
    <row r="25" spans="1:14" x14ac:dyDescent="0.25">
      <c r="A25" s="56"/>
      <c r="N25" s="57"/>
    </row>
    <row r="26" spans="1:14" x14ac:dyDescent="0.25">
      <c r="A26" s="56"/>
      <c r="N26" s="57"/>
    </row>
    <row r="27" spans="1:14" x14ac:dyDescent="0.25">
      <c r="A27" s="56"/>
      <c r="N27" s="57"/>
    </row>
    <row r="28" spans="1:14" x14ac:dyDescent="0.25">
      <c r="A28" s="56"/>
      <c r="N28" s="57"/>
    </row>
    <row r="29" spans="1:14" x14ac:dyDescent="0.25">
      <c r="A29" s="56"/>
      <c r="N29" s="57"/>
    </row>
    <row r="30" spans="1:14" x14ac:dyDescent="0.25">
      <c r="A30" s="56"/>
      <c r="N30" s="57"/>
    </row>
    <row r="31" spans="1:14" x14ac:dyDescent="0.25">
      <c r="A31" s="56"/>
      <c r="N31" s="57"/>
    </row>
    <row r="32" spans="1:14" x14ac:dyDescent="0.25">
      <c r="A32" s="56"/>
      <c r="N32" s="57"/>
    </row>
    <row r="33" spans="1:14" x14ac:dyDescent="0.25">
      <c r="A33" s="56"/>
      <c r="N33" s="57"/>
    </row>
    <row r="34" spans="1:14" x14ac:dyDescent="0.25">
      <c r="A34" s="56"/>
      <c r="N34" s="57"/>
    </row>
    <row r="35" spans="1:14" x14ac:dyDescent="0.25">
      <c r="A35" s="56"/>
      <c r="N35" s="57"/>
    </row>
    <row r="36" spans="1:14" x14ac:dyDescent="0.25">
      <c r="A36" s="56"/>
      <c r="N36" s="57"/>
    </row>
    <row r="37" spans="1:14" x14ac:dyDescent="0.25">
      <c r="A37" s="56"/>
      <c r="N37" s="57"/>
    </row>
    <row r="38" spans="1:14" x14ac:dyDescent="0.25">
      <c r="A38" s="56"/>
      <c r="N38" s="57"/>
    </row>
    <row r="39" spans="1:14" x14ac:dyDescent="0.25">
      <c r="A39" s="56"/>
      <c r="N39" s="57"/>
    </row>
    <row r="40" spans="1:14" x14ac:dyDescent="0.25">
      <c r="A40" s="56"/>
      <c r="N40" s="57"/>
    </row>
    <row r="41" spans="1:14" x14ac:dyDescent="0.25">
      <c r="A41" s="56"/>
      <c r="N41" s="57"/>
    </row>
    <row r="42" spans="1:14" x14ac:dyDescent="0.25">
      <c r="A42" s="56"/>
      <c r="N42" s="57"/>
    </row>
    <row r="43" spans="1:14" x14ac:dyDescent="0.25">
      <c r="A43" s="56"/>
      <c r="N43" s="57"/>
    </row>
    <row r="44" spans="1:14" x14ac:dyDescent="0.25">
      <c r="A44" s="56"/>
      <c r="N44" s="57"/>
    </row>
    <row r="45" spans="1:14" x14ac:dyDescent="0.25">
      <c r="A45" s="56"/>
      <c r="N45" s="57"/>
    </row>
    <row r="46" spans="1:14" x14ac:dyDescent="0.25">
      <c r="A46" s="56"/>
      <c r="N46" s="57"/>
    </row>
    <row r="47" spans="1:14" x14ac:dyDescent="0.25">
      <c r="A47" s="56"/>
      <c r="N47" s="57"/>
    </row>
    <row r="48" spans="1:14" x14ac:dyDescent="0.25">
      <c r="A48" s="56"/>
      <c r="N48" s="57"/>
    </row>
    <row r="49" spans="1:14" x14ac:dyDescent="0.25">
      <c r="A49" s="56"/>
      <c r="N49" s="57"/>
    </row>
    <row r="50" spans="1:14" x14ac:dyDescent="0.25">
      <c r="A50" s="56"/>
      <c r="N50" s="57"/>
    </row>
    <row r="51" spans="1:14" x14ac:dyDescent="0.25">
      <c r="A51" s="56"/>
      <c r="N51" s="57"/>
    </row>
    <row r="52" spans="1:14" x14ac:dyDescent="0.25">
      <c r="A52" s="56"/>
      <c r="N52" s="57"/>
    </row>
    <row r="53" spans="1:14" x14ac:dyDescent="0.25">
      <c r="A53" s="56"/>
      <c r="N53" s="57"/>
    </row>
    <row r="54" spans="1:14" x14ac:dyDescent="0.25">
      <c r="A54" s="56"/>
      <c r="N54" s="57"/>
    </row>
    <row r="55" spans="1:14" x14ac:dyDescent="0.25">
      <c r="A55" s="56"/>
      <c r="N55" s="57"/>
    </row>
    <row r="56" spans="1:14" x14ac:dyDescent="0.25">
      <c r="A56" s="56"/>
      <c r="N56" s="57"/>
    </row>
    <row r="57" spans="1:14" x14ac:dyDescent="0.25">
      <c r="A57" s="56"/>
      <c r="N57" s="57"/>
    </row>
    <row r="58" spans="1:14" x14ac:dyDescent="0.25">
      <c r="A58" s="56"/>
      <c r="N58" s="57"/>
    </row>
    <row r="59" spans="1:14" x14ac:dyDescent="0.25">
      <c r="A59" s="56"/>
      <c r="N59" s="57"/>
    </row>
    <row r="60" spans="1:14" x14ac:dyDescent="0.25">
      <c r="A60" s="56"/>
      <c r="N60" s="57"/>
    </row>
    <row r="61" spans="1:14" x14ac:dyDescent="0.25">
      <c r="A61" s="56"/>
      <c r="N61" s="57"/>
    </row>
    <row r="62" spans="1:14" x14ac:dyDescent="0.25">
      <c r="A62" s="56"/>
      <c r="N62" s="57"/>
    </row>
    <row r="63" spans="1:14" x14ac:dyDescent="0.25">
      <c r="A63" s="56"/>
      <c r="N63" s="57"/>
    </row>
    <row r="64" spans="1:14" x14ac:dyDescent="0.25">
      <c r="A64" s="56"/>
      <c r="N64" s="57"/>
    </row>
    <row r="65" spans="1:14" x14ac:dyDescent="0.25">
      <c r="A65" s="56"/>
      <c r="N65" s="57"/>
    </row>
    <row r="66" spans="1:14" x14ac:dyDescent="0.25">
      <c r="A66" s="56"/>
      <c r="N66" s="57"/>
    </row>
    <row r="67" spans="1:14" x14ac:dyDescent="0.25">
      <c r="A67" s="56"/>
      <c r="N67" s="57"/>
    </row>
    <row r="68" spans="1:14" x14ac:dyDescent="0.25">
      <c r="A68" s="56"/>
      <c r="N68" s="57"/>
    </row>
    <row r="69" spans="1:14" x14ac:dyDescent="0.25">
      <c r="A69" s="56"/>
      <c r="N69" s="57"/>
    </row>
    <row r="70" spans="1:14" x14ac:dyDescent="0.25">
      <c r="A70" s="56"/>
      <c r="N70" s="57"/>
    </row>
    <row r="71" spans="1:14" ht="15" thickBot="1" x14ac:dyDescent="0.3">
      <c r="A71" s="5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59"/>
    </row>
    <row r="72" spans="1:14" x14ac:dyDescent="0.25">
      <c r="A72" s="56"/>
      <c r="N72" s="57"/>
    </row>
    <row r="73" spans="1:14" ht="18.75" customHeight="1" x14ac:dyDescent="0.25">
      <c r="A73" s="56" t="s">
        <v>19</v>
      </c>
      <c r="N73" s="57"/>
    </row>
    <row r="74" spans="1:14" ht="18.75" customHeight="1" x14ac:dyDescent="0.25">
      <c r="A74" s="56"/>
      <c r="N74" s="57"/>
    </row>
    <row r="75" spans="1:14" s="9" customFormat="1" ht="27" customHeight="1" x14ac:dyDescent="0.25">
      <c r="A75" s="60"/>
      <c r="B75" s="86" t="s">
        <v>27</v>
      </c>
      <c r="C75" s="86"/>
      <c r="K75" s="90" t="s">
        <v>28</v>
      </c>
      <c r="L75" s="90"/>
      <c r="M75" s="90"/>
    </row>
    <row r="76" spans="1:14" s="9" customFormat="1" ht="30" customHeight="1" x14ac:dyDescent="0.25">
      <c r="A76" s="60"/>
      <c r="B76" s="91"/>
      <c r="C76" s="91"/>
      <c r="K76" s="91"/>
      <c r="L76" s="91"/>
      <c r="M76" s="91"/>
    </row>
    <row r="77" spans="1:14" s="9" customFormat="1" ht="27" customHeight="1" x14ac:dyDescent="0.25">
      <c r="A77" s="60"/>
      <c r="B77" s="92"/>
      <c r="C77" s="92"/>
      <c r="K77" s="92"/>
      <c r="L77" s="92"/>
      <c r="M77" s="92"/>
    </row>
    <row r="78" spans="1:14" s="9" customFormat="1" ht="33.75" customHeight="1" x14ac:dyDescent="0.25">
      <c r="A78" s="60"/>
      <c r="B78" s="90" t="s">
        <v>50</v>
      </c>
      <c r="C78" s="90"/>
      <c r="K78" s="90" t="s">
        <v>61</v>
      </c>
      <c r="L78" s="90"/>
      <c r="M78" s="90"/>
    </row>
    <row r="79" spans="1:14" s="9" customFormat="1" ht="27" customHeight="1" x14ac:dyDescent="0.25">
      <c r="A79" s="60"/>
      <c r="B79" s="86" t="s">
        <v>56</v>
      </c>
      <c r="C79" s="86"/>
      <c r="K79" s="9" t="s">
        <v>60</v>
      </c>
    </row>
    <row r="80" spans="1:14" s="9" customFormat="1" ht="27" customHeight="1" x14ac:dyDescent="0.25">
      <c r="A80" s="61"/>
      <c r="B80" s="85">
        <f>M1</f>
        <v>46076</v>
      </c>
      <c r="C80" s="86"/>
      <c r="K80" s="85">
        <f>M1</f>
        <v>46076</v>
      </c>
      <c r="L80" s="86"/>
      <c r="M80" s="86"/>
      <c r="N80" s="62"/>
    </row>
  </sheetData>
  <mergeCells count="29">
    <mergeCell ref="A11:A12"/>
    <mergeCell ref="B11:B12"/>
    <mergeCell ref="A13:A15"/>
    <mergeCell ref="B13:B15"/>
    <mergeCell ref="J7:K7"/>
    <mergeCell ref="G7:I7"/>
    <mergeCell ref="A1:B1"/>
    <mergeCell ref="K3:L3"/>
    <mergeCell ref="M2:N2"/>
    <mergeCell ref="M3:N3"/>
    <mergeCell ref="A5:N5"/>
    <mergeCell ref="C1:J1"/>
    <mergeCell ref="C2:J2"/>
    <mergeCell ref="C3:J3"/>
    <mergeCell ref="K1:L1"/>
    <mergeCell ref="M1:N1"/>
    <mergeCell ref="K2:L2"/>
    <mergeCell ref="K80:M80"/>
    <mergeCell ref="A18:N18"/>
    <mergeCell ref="K75:M75"/>
    <mergeCell ref="K76:M76"/>
    <mergeCell ref="K77:M77"/>
    <mergeCell ref="K78:M78"/>
    <mergeCell ref="B75:C75"/>
    <mergeCell ref="B77:C77"/>
    <mergeCell ref="B78:C78"/>
    <mergeCell ref="B79:C79"/>
    <mergeCell ref="B80:C80"/>
    <mergeCell ref="B76:C76"/>
  </mergeCells>
  <pageMargins left="0.7" right="0.7" top="0.75" bottom="0.75" header="0.3" footer="0.3"/>
  <pageSetup paperSize="9" scale="41" fitToHeight="0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0"/>
  <sheetViews>
    <sheetView view="pageBreakPreview" zoomScale="80" zoomScaleNormal="85" zoomScaleSheetLayoutView="80" workbookViewId="0">
      <selection activeCell="M4" sqref="M4"/>
    </sheetView>
  </sheetViews>
  <sheetFormatPr defaultRowHeight="14.25" x14ac:dyDescent="0.25"/>
  <cols>
    <col min="1" max="1" width="9.140625" style="1" customWidth="1"/>
    <col min="2" max="2" width="21.28515625" style="1" customWidth="1"/>
    <col min="3" max="3" width="20.28515625" style="1" customWidth="1"/>
    <col min="4" max="4" width="20" style="1" customWidth="1"/>
    <col min="5" max="5" width="17.28515625" style="1" customWidth="1"/>
    <col min="6" max="6" width="13.7109375" style="1" customWidth="1"/>
    <col min="7" max="9" width="9.42578125" style="1" customWidth="1"/>
    <col min="10" max="10" width="10.5703125" style="1" customWidth="1"/>
    <col min="11" max="11" width="9.42578125" style="1" customWidth="1"/>
    <col min="12" max="12" width="14.85546875" style="1" customWidth="1"/>
    <col min="13" max="13" width="14.28515625" style="1" customWidth="1"/>
    <col min="14" max="14" width="30.28515625" style="1" customWidth="1"/>
    <col min="15" max="16384" width="9.140625" style="1"/>
  </cols>
  <sheetData>
    <row r="1" spans="1:14" s="10" customFormat="1" ht="42.75" customHeight="1" x14ac:dyDescent="0.25">
      <c r="A1" s="93" t="s">
        <v>8</v>
      </c>
      <c r="B1" s="93"/>
      <c r="C1" s="93" t="s">
        <v>57</v>
      </c>
      <c r="D1" s="93"/>
      <c r="E1" s="93"/>
      <c r="F1" s="93"/>
      <c r="G1" s="93"/>
      <c r="H1" s="93"/>
      <c r="I1" s="93"/>
      <c r="J1" s="93"/>
      <c r="K1" s="93" t="s">
        <v>25</v>
      </c>
      <c r="L1" s="93"/>
      <c r="M1" s="100">
        <v>46076</v>
      </c>
      <c r="N1" s="100"/>
    </row>
    <row r="2" spans="1:14" s="10" customFormat="1" ht="42.75" customHeight="1" x14ac:dyDescent="0.25">
      <c r="A2" s="11" t="s">
        <v>7</v>
      </c>
      <c r="B2" s="11"/>
      <c r="C2" s="93" t="s">
        <v>56</v>
      </c>
      <c r="D2" s="93"/>
      <c r="E2" s="93"/>
      <c r="F2" s="93"/>
      <c r="G2" s="93"/>
      <c r="H2" s="93"/>
      <c r="I2" s="93"/>
      <c r="J2" s="93"/>
      <c r="K2" s="93" t="s">
        <v>26</v>
      </c>
      <c r="L2" s="93"/>
      <c r="M2" s="95" t="s">
        <v>54</v>
      </c>
      <c r="N2" s="95"/>
    </row>
    <row r="3" spans="1:14" s="12" customFormat="1" ht="42.75" customHeight="1" thickBot="1" x14ac:dyDescent="0.3">
      <c r="A3" s="47" t="s">
        <v>9</v>
      </c>
      <c r="B3" s="17"/>
      <c r="C3" s="94" t="s">
        <v>59</v>
      </c>
      <c r="D3" s="94"/>
      <c r="E3" s="94"/>
      <c r="F3" s="94"/>
      <c r="G3" s="94"/>
      <c r="H3" s="94"/>
      <c r="I3" s="94"/>
      <c r="J3" s="94"/>
      <c r="K3" s="94" t="s">
        <v>58</v>
      </c>
      <c r="L3" s="94"/>
      <c r="M3" s="96" t="s">
        <v>52</v>
      </c>
      <c r="N3" s="96"/>
    </row>
    <row r="4" spans="1:14" s="12" customFormat="1" ht="38.25" customHeight="1" x14ac:dyDescent="0.25">
      <c r="A4" s="4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49"/>
    </row>
    <row r="5" spans="1:14" ht="45.75" customHeight="1" thickBot="1" x14ac:dyDescent="0.3">
      <c r="A5" s="97" t="s">
        <v>49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9"/>
    </row>
    <row r="6" spans="1:14" ht="45.75" customHeight="1" x14ac:dyDescent="0.25">
      <c r="A6" s="68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69"/>
    </row>
    <row r="7" spans="1:14" s="16" customFormat="1" ht="90" x14ac:dyDescent="0.25">
      <c r="A7" s="64" t="s">
        <v>10</v>
      </c>
      <c r="B7" s="64" t="s">
        <v>11</v>
      </c>
      <c r="C7" s="65" t="s">
        <v>22</v>
      </c>
      <c r="D7" s="64" t="s">
        <v>22</v>
      </c>
      <c r="E7" s="64" t="s">
        <v>21</v>
      </c>
      <c r="F7" s="64" t="s">
        <v>65</v>
      </c>
      <c r="G7" s="110" t="s">
        <v>20</v>
      </c>
      <c r="H7" s="111"/>
      <c r="I7" s="112"/>
      <c r="J7" s="113" t="s">
        <v>15</v>
      </c>
      <c r="K7" s="114"/>
      <c r="L7" s="66" t="s">
        <v>64</v>
      </c>
      <c r="M7" s="28" t="s">
        <v>24</v>
      </c>
      <c r="N7" s="67" t="s">
        <v>66</v>
      </c>
    </row>
    <row r="8" spans="1:14" s="16" customFormat="1" ht="32.25" customHeight="1" x14ac:dyDescent="0.25">
      <c r="A8" s="18"/>
      <c r="B8" s="18"/>
      <c r="C8" s="18"/>
      <c r="D8" s="18"/>
      <c r="E8" s="18"/>
      <c r="F8" s="18"/>
      <c r="G8" s="19" t="s">
        <v>12</v>
      </c>
      <c r="H8" s="19" t="s">
        <v>13</v>
      </c>
      <c r="I8" s="19" t="s">
        <v>14</v>
      </c>
      <c r="J8" s="3" t="s">
        <v>17</v>
      </c>
      <c r="K8" s="30" t="s">
        <v>16</v>
      </c>
      <c r="L8" s="26"/>
      <c r="M8" s="24"/>
      <c r="N8" s="53"/>
    </row>
    <row r="9" spans="1:14" s="16" customFormat="1" ht="32.25" customHeight="1" x14ac:dyDescent="0.25">
      <c r="A9" s="20">
        <v>2</v>
      </c>
      <c r="B9" s="20" t="s">
        <v>23</v>
      </c>
      <c r="C9" s="20"/>
      <c r="D9" s="20"/>
      <c r="E9" s="20"/>
      <c r="F9" s="20"/>
      <c r="G9" s="21"/>
      <c r="H9" s="21"/>
      <c r="I9" s="21"/>
      <c r="J9" s="22"/>
      <c r="K9" s="22"/>
      <c r="L9" s="27"/>
      <c r="M9" s="28"/>
      <c r="N9" s="41"/>
    </row>
    <row r="10" spans="1:14" s="16" customFormat="1" ht="32.25" customHeight="1" x14ac:dyDescent="0.25">
      <c r="A10" s="101" t="s">
        <v>31</v>
      </c>
      <c r="B10" s="101" t="s">
        <v>23</v>
      </c>
      <c r="C10" s="20" t="s">
        <v>45</v>
      </c>
      <c r="D10" s="20" t="s">
        <v>46</v>
      </c>
      <c r="E10" s="20" t="s">
        <v>41</v>
      </c>
      <c r="F10" s="20">
        <v>244</v>
      </c>
      <c r="G10" s="21">
        <v>200</v>
      </c>
      <c r="H10" s="21">
        <v>200</v>
      </c>
      <c r="I10" s="21">
        <v>20</v>
      </c>
      <c r="J10" s="22">
        <v>9</v>
      </c>
      <c r="K10" s="22">
        <v>16</v>
      </c>
      <c r="L10" s="27">
        <v>10</v>
      </c>
      <c r="M10" s="24"/>
      <c r="N10" s="41"/>
    </row>
    <row r="11" spans="1:14" s="16" customFormat="1" ht="32.25" customHeight="1" x14ac:dyDescent="0.25">
      <c r="A11" s="102"/>
      <c r="B11" s="102"/>
      <c r="C11" s="20" t="s">
        <v>45</v>
      </c>
      <c r="D11" s="20" t="s">
        <v>46</v>
      </c>
      <c r="E11" s="20" t="s">
        <v>41</v>
      </c>
      <c r="F11" s="20"/>
      <c r="G11" s="21">
        <v>262</v>
      </c>
      <c r="H11" s="21">
        <v>144</v>
      </c>
      <c r="I11" s="21">
        <v>10</v>
      </c>
      <c r="J11" s="22"/>
      <c r="K11" s="22"/>
      <c r="L11" s="27">
        <v>10</v>
      </c>
      <c r="M11" s="24"/>
      <c r="N11" s="41"/>
    </row>
    <row r="12" spans="1:14" s="16" customFormat="1" ht="32.25" customHeight="1" x14ac:dyDescent="0.25">
      <c r="A12" s="102"/>
      <c r="B12" s="102"/>
      <c r="C12" s="20" t="s">
        <v>45</v>
      </c>
      <c r="D12" s="20" t="s">
        <v>46</v>
      </c>
      <c r="E12" s="20" t="s">
        <v>41</v>
      </c>
      <c r="F12" s="20"/>
      <c r="G12" s="21">
        <v>262</v>
      </c>
      <c r="H12" s="21">
        <v>144</v>
      </c>
      <c r="I12" s="21">
        <v>10</v>
      </c>
      <c r="J12" s="22"/>
      <c r="K12" s="22"/>
      <c r="L12" s="27">
        <v>10</v>
      </c>
      <c r="M12" s="24"/>
      <c r="N12" s="41"/>
    </row>
    <row r="13" spans="1:14" s="16" customFormat="1" ht="32.25" customHeight="1" x14ac:dyDescent="0.25">
      <c r="A13" s="115"/>
      <c r="B13" s="115"/>
      <c r="C13" s="20" t="s">
        <v>45</v>
      </c>
      <c r="D13" s="20" t="s">
        <v>46</v>
      </c>
      <c r="E13" s="20" t="s">
        <v>41</v>
      </c>
      <c r="F13" s="20"/>
      <c r="G13" s="21">
        <v>150</v>
      </c>
      <c r="H13" s="21">
        <v>80</v>
      </c>
      <c r="I13" s="21">
        <v>15</v>
      </c>
      <c r="J13" s="22"/>
      <c r="K13" s="22"/>
      <c r="L13" s="27">
        <v>10</v>
      </c>
      <c r="M13" s="24"/>
      <c r="N13" s="41"/>
    </row>
    <row r="14" spans="1:14" s="16" customFormat="1" ht="32.25" customHeight="1" x14ac:dyDescent="0.25">
      <c r="A14" s="46" t="s">
        <v>32</v>
      </c>
      <c r="B14" s="46" t="s">
        <v>23</v>
      </c>
      <c r="C14" s="20" t="s">
        <v>45</v>
      </c>
      <c r="D14" s="20" t="s">
        <v>46</v>
      </c>
      <c r="E14" s="20" t="s">
        <v>41</v>
      </c>
      <c r="F14" s="20">
        <v>244</v>
      </c>
      <c r="G14" s="21">
        <v>200</v>
      </c>
      <c r="H14" s="21">
        <v>200</v>
      </c>
      <c r="I14" s="21">
        <v>20</v>
      </c>
      <c r="J14" s="22">
        <v>9</v>
      </c>
      <c r="K14" s="22">
        <v>16</v>
      </c>
      <c r="L14" s="27">
        <v>10</v>
      </c>
      <c r="M14" s="24"/>
      <c r="N14" s="41"/>
    </row>
    <row r="15" spans="1:14" s="16" customFormat="1" ht="32.25" customHeight="1" x14ac:dyDescent="0.25">
      <c r="A15" s="20" t="s">
        <v>34</v>
      </c>
      <c r="B15" s="20" t="s">
        <v>23</v>
      </c>
      <c r="C15" s="20" t="s">
        <v>45</v>
      </c>
      <c r="D15" s="20" t="s">
        <v>46</v>
      </c>
      <c r="E15" s="20" t="s">
        <v>41</v>
      </c>
      <c r="F15" s="20">
        <v>1634</v>
      </c>
      <c r="G15" s="21">
        <v>680</v>
      </c>
      <c r="H15" s="21">
        <v>280</v>
      </c>
      <c r="I15" s="21">
        <v>20</v>
      </c>
      <c r="J15" s="22">
        <v>10</v>
      </c>
      <c r="K15" s="22">
        <v>30</v>
      </c>
      <c r="L15" s="27">
        <v>10</v>
      </c>
      <c r="M15" s="24"/>
      <c r="N15" s="63"/>
    </row>
    <row r="16" spans="1:14" s="16" customFormat="1" ht="32.25" customHeight="1" x14ac:dyDescent="0.25">
      <c r="A16" s="20"/>
      <c r="B16" s="20"/>
      <c r="C16" s="20"/>
      <c r="D16" s="20"/>
      <c r="E16" s="20"/>
      <c r="F16" s="20"/>
      <c r="G16" s="21"/>
      <c r="H16" s="21"/>
      <c r="I16" s="21"/>
      <c r="J16" s="22"/>
      <c r="K16" s="22"/>
      <c r="L16" s="27"/>
      <c r="M16" s="28"/>
      <c r="N16" s="63"/>
    </row>
    <row r="17" spans="1:14" s="16" customFormat="1" ht="32.25" customHeight="1" x14ac:dyDescent="0.25">
      <c r="A17" s="20"/>
      <c r="B17" s="20"/>
      <c r="C17" s="20"/>
      <c r="D17" s="20"/>
      <c r="E17" s="20"/>
      <c r="F17" s="20"/>
      <c r="G17" s="21"/>
      <c r="H17" s="21"/>
      <c r="I17" s="21"/>
      <c r="J17" s="22"/>
      <c r="K17" s="22"/>
      <c r="L17" s="27"/>
      <c r="M17" s="28"/>
      <c r="N17" s="63"/>
    </row>
    <row r="18" spans="1:14" s="16" customFormat="1" ht="32.25" customHeight="1" x14ac:dyDescent="0.25">
      <c r="A18" s="20"/>
      <c r="B18" s="20"/>
      <c r="C18" s="20"/>
      <c r="D18" s="20"/>
      <c r="E18" s="20"/>
      <c r="F18" s="20"/>
      <c r="G18" s="21"/>
      <c r="H18" s="21"/>
      <c r="I18" s="21"/>
      <c r="J18" s="22"/>
      <c r="K18" s="22"/>
      <c r="L18" s="27"/>
      <c r="M18" s="28"/>
      <c r="N18" s="41"/>
    </row>
    <row r="19" spans="1:14" s="2" customFormat="1" ht="35.1" customHeight="1" thickBot="1" x14ac:dyDescent="0.3">
      <c r="A19" s="87" t="s">
        <v>30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9"/>
    </row>
    <row r="20" spans="1:14" s="2" customFormat="1" x14ac:dyDescent="0.25">
      <c r="A20" s="5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55"/>
    </row>
    <row r="21" spans="1:14" x14ac:dyDescent="0.25">
      <c r="A21" s="56"/>
      <c r="N21" s="57"/>
    </row>
    <row r="22" spans="1:14" x14ac:dyDescent="0.25">
      <c r="A22" s="56"/>
      <c r="N22" s="57"/>
    </row>
    <row r="23" spans="1:14" x14ac:dyDescent="0.25">
      <c r="A23" s="56"/>
      <c r="N23" s="57"/>
    </row>
    <row r="24" spans="1:14" x14ac:dyDescent="0.25">
      <c r="A24" s="56"/>
      <c r="N24" s="57"/>
    </row>
    <row r="25" spans="1:14" x14ac:dyDescent="0.25">
      <c r="A25" s="56"/>
      <c r="N25" s="57"/>
    </row>
    <row r="26" spans="1:14" x14ac:dyDescent="0.25">
      <c r="A26" s="56"/>
      <c r="N26" s="57"/>
    </row>
    <row r="27" spans="1:14" x14ac:dyDescent="0.25">
      <c r="A27" s="56"/>
      <c r="N27" s="57"/>
    </row>
    <row r="28" spans="1:14" x14ac:dyDescent="0.25">
      <c r="A28" s="56"/>
      <c r="N28" s="57"/>
    </row>
    <row r="29" spans="1:14" x14ac:dyDescent="0.25">
      <c r="A29" s="56"/>
      <c r="N29" s="57"/>
    </row>
    <row r="30" spans="1:14" x14ac:dyDescent="0.25">
      <c r="A30" s="56"/>
      <c r="N30" s="57"/>
    </row>
    <row r="31" spans="1:14" x14ac:dyDescent="0.25">
      <c r="A31" s="56"/>
      <c r="N31" s="57"/>
    </row>
    <row r="32" spans="1:14" x14ac:dyDescent="0.25">
      <c r="A32" s="56"/>
      <c r="N32" s="57"/>
    </row>
    <row r="33" spans="1:14" x14ac:dyDescent="0.25">
      <c r="A33" s="56"/>
      <c r="N33" s="57"/>
    </row>
    <row r="34" spans="1:14" x14ac:dyDescent="0.25">
      <c r="A34" s="56"/>
      <c r="N34" s="57"/>
    </row>
    <row r="35" spans="1:14" x14ac:dyDescent="0.25">
      <c r="A35" s="56"/>
      <c r="N35" s="57"/>
    </row>
    <row r="36" spans="1:14" x14ac:dyDescent="0.25">
      <c r="A36" s="56"/>
      <c r="N36" s="57"/>
    </row>
    <row r="37" spans="1:14" x14ac:dyDescent="0.25">
      <c r="A37" s="56"/>
      <c r="N37" s="57"/>
    </row>
    <row r="38" spans="1:14" x14ac:dyDescent="0.25">
      <c r="A38" s="56"/>
      <c r="N38" s="57"/>
    </row>
    <row r="39" spans="1:14" x14ac:dyDescent="0.25">
      <c r="A39" s="56"/>
      <c r="N39" s="57"/>
    </row>
    <row r="40" spans="1:14" x14ac:dyDescent="0.25">
      <c r="A40" s="56"/>
      <c r="N40" s="57"/>
    </row>
    <row r="41" spans="1:14" x14ac:dyDescent="0.25">
      <c r="A41" s="56"/>
      <c r="N41" s="57"/>
    </row>
    <row r="42" spans="1:14" x14ac:dyDescent="0.25">
      <c r="A42" s="56"/>
      <c r="N42" s="57"/>
    </row>
    <row r="43" spans="1:14" x14ac:dyDescent="0.25">
      <c r="A43" s="56"/>
      <c r="N43" s="57"/>
    </row>
    <row r="44" spans="1:14" x14ac:dyDescent="0.25">
      <c r="A44" s="56"/>
      <c r="N44" s="57"/>
    </row>
    <row r="45" spans="1:14" x14ac:dyDescent="0.25">
      <c r="A45" s="56"/>
      <c r="N45" s="57"/>
    </row>
    <row r="46" spans="1:14" x14ac:dyDescent="0.25">
      <c r="A46" s="56"/>
      <c r="N46" s="57"/>
    </row>
    <row r="47" spans="1:14" x14ac:dyDescent="0.25">
      <c r="A47" s="56" t="s">
        <v>39</v>
      </c>
      <c r="N47" s="57"/>
    </row>
    <row r="48" spans="1:14" x14ac:dyDescent="0.25">
      <c r="A48" s="56"/>
      <c r="N48" s="57"/>
    </row>
    <row r="49" spans="1:14" x14ac:dyDescent="0.25">
      <c r="A49" s="56"/>
      <c r="N49" s="57"/>
    </row>
    <row r="50" spans="1:14" x14ac:dyDescent="0.25">
      <c r="A50" s="56"/>
      <c r="N50" s="57"/>
    </row>
    <row r="51" spans="1:14" x14ac:dyDescent="0.25">
      <c r="A51" s="56"/>
      <c r="N51" s="57"/>
    </row>
    <row r="52" spans="1:14" x14ac:dyDescent="0.25">
      <c r="A52" s="56"/>
      <c r="N52" s="57"/>
    </row>
    <row r="53" spans="1:14" x14ac:dyDescent="0.25">
      <c r="A53" s="56"/>
      <c r="N53" s="57"/>
    </row>
    <row r="54" spans="1:14" x14ac:dyDescent="0.25">
      <c r="A54" s="56"/>
      <c r="N54" s="57"/>
    </row>
    <row r="55" spans="1:14" x14ac:dyDescent="0.25">
      <c r="A55" s="56"/>
      <c r="N55" s="57"/>
    </row>
    <row r="56" spans="1:14" x14ac:dyDescent="0.25">
      <c r="A56" s="56"/>
      <c r="N56" s="57"/>
    </row>
    <row r="57" spans="1:14" x14ac:dyDescent="0.25">
      <c r="A57" s="56"/>
      <c r="N57" s="57"/>
    </row>
    <row r="58" spans="1:14" x14ac:dyDescent="0.25">
      <c r="A58" s="56"/>
      <c r="N58" s="57"/>
    </row>
    <row r="59" spans="1:14" x14ac:dyDescent="0.25">
      <c r="A59" s="56"/>
      <c r="N59" s="57"/>
    </row>
    <row r="60" spans="1:14" x14ac:dyDescent="0.25">
      <c r="A60" s="56"/>
      <c r="N60" s="57"/>
    </row>
    <row r="61" spans="1:14" x14ac:dyDescent="0.25">
      <c r="A61" s="56"/>
      <c r="N61" s="57"/>
    </row>
    <row r="62" spans="1:14" x14ac:dyDescent="0.25">
      <c r="A62" s="56"/>
      <c r="N62" s="57"/>
    </row>
    <row r="63" spans="1:14" x14ac:dyDescent="0.25">
      <c r="A63" s="56"/>
      <c r="N63" s="57"/>
    </row>
    <row r="64" spans="1:14" x14ac:dyDescent="0.25">
      <c r="A64" s="56"/>
      <c r="N64" s="57"/>
    </row>
    <row r="65" spans="1:14" x14ac:dyDescent="0.25">
      <c r="A65" s="56"/>
      <c r="N65" s="57"/>
    </row>
    <row r="66" spans="1:14" x14ac:dyDescent="0.25">
      <c r="A66" s="56"/>
      <c r="N66" s="57"/>
    </row>
    <row r="67" spans="1:14" x14ac:dyDescent="0.25">
      <c r="A67" s="56"/>
      <c r="N67" s="57"/>
    </row>
    <row r="68" spans="1:14" x14ac:dyDescent="0.25">
      <c r="A68" s="56"/>
      <c r="N68" s="57"/>
    </row>
    <row r="69" spans="1:14" x14ac:dyDescent="0.25">
      <c r="A69" s="56"/>
      <c r="N69" s="57"/>
    </row>
    <row r="70" spans="1:14" x14ac:dyDescent="0.25">
      <c r="A70" s="56"/>
      <c r="N70" s="57"/>
    </row>
    <row r="71" spans="1:14" x14ac:dyDescent="0.25">
      <c r="A71" s="56"/>
      <c r="N71" s="57"/>
    </row>
    <row r="72" spans="1:14" ht="15" thickBot="1" x14ac:dyDescent="0.3">
      <c r="A72" s="5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59"/>
    </row>
    <row r="73" spans="1:14" x14ac:dyDescent="0.25">
      <c r="A73" s="56"/>
      <c r="N73" s="57"/>
    </row>
    <row r="74" spans="1:14" ht="18.75" customHeight="1" x14ac:dyDescent="0.25">
      <c r="A74" s="56" t="s">
        <v>19</v>
      </c>
      <c r="N74" s="57"/>
    </row>
    <row r="75" spans="1:14" ht="18.75" customHeight="1" x14ac:dyDescent="0.25">
      <c r="A75" s="56"/>
      <c r="N75" s="57"/>
    </row>
    <row r="76" spans="1:14" s="9" customFormat="1" ht="27" customHeight="1" x14ac:dyDescent="0.25">
      <c r="A76" s="60"/>
      <c r="B76" s="86" t="s">
        <v>27</v>
      </c>
      <c r="C76" s="86"/>
      <c r="K76" s="90" t="s">
        <v>28</v>
      </c>
      <c r="L76" s="90"/>
      <c r="M76" s="90"/>
    </row>
    <row r="77" spans="1:14" s="9" customFormat="1" ht="30" customHeight="1" x14ac:dyDescent="0.25">
      <c r="A77" s="60"/>
      <c r="B77" s="91"/>
      <c r="C77" s="91"/>
      <c r="K77" s="91"/>
      <c r="L77" s="91"/>
      <c r="M77" s="91"/>
    </row>
    <row r="78" spans="1:14" s="9" customFormat="1" ht="27" customHeight="1" x14ac:dyDescent="0.25">
      <c r="A78" s="60"/>
      <c r="B78" s="92"/>
      <c r="C78" s="92"/>
      <c r="K78" s="92"/>
      <c r="L78" s="92"/>
      <c r="M78" s="92"/>
    </row>
    <row r="79" spans="1:14" s="9" customFormat="1" ht="33.75" customHeight="1" x14ac:dyDescent="0.25">
      <c r="A79" s="60"/>
      <c r="B79" s="90" t="s">
        <v>50</v>
      </c>
      <c r="C79" s="90"/>
      <c r="K79" s="90" t="s">
        <v>61</v>
      </c>
      <c r="L79" s="90"/>
      <c r="M79" s="90"/>
    </row>
    <row r="80" spans="1:14" s="9" customFormat="1" ht="27" customHeight="1" x14ac:dyDescent="0.25">
      <c r="A80" s="60"/>
      <c r="B80" s="86" t="s">
        <v>56</v>
      </c>
      <c r="C80" s="86"/>
      <c r="K80" s="9" t="s">
        <v>60</v>
      </c>
    </row>
  </sheetData>
  <mergeCells count="25">
    <mergeCell ref="B79:C79"/>
    <mergeCell ref="K79:M79"/>
    <mergeCell ref="B80:C80"/>
    <mergeCell ref="B78:C78"/>
    <mergeCell ref="K78:M78"/>
    <mergeCell ref="C3:J3"/>
    <mergeCell ref="K3:L3"/>
    <mergeCell ref="M3:N3"/>
    <mergeCell ref="A5:N5"/>
    <mergeCell ref="G7:I7"/>
    <mergeCell ref="J7:K7"/>
    <mergeCell ref="A19:N19"/>
    <mergeCell ref="B76:C76"/>
    <mergeCell ref="K76:M76"/>
    <mergeCell ref="B77:C77"/>
    <mergeCell ref="K77:M77"/>
    <mergeCell ref="A10:A13"/>
    <mergeCell ref="B10:B13"/>
    <mergeCell ref="A1:B1"/>
    <mergeCell ref="C1:J1"/>
    <mergeCell ref="K1:L1"/>
    <mergeCell ref="M1:N1"/>
    <mergeCell ref="C2:J2"/>
    <mergeCell ref="K2:L2"/>
    <mergeCell ref="M2:N2"/>
  </mergeCells>
  <pageMargins left="0.7" right="0.7" top="0.75" bottom="0.75" header="0.3" footer="0.3"/>
  <pageSetup paperSize="9" scale="40" fitToHeight="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view="pageBreakPreview" zoomScale="70" zoomScaleNormal="85" zoomScaleSheetLayoutView="70" workbookViewId="0">
      <selection activeCell="U8" sqref="U8"/>
    </sheetView>
  </sheetViews>
  <sheetFormatPr defaultRowHeight="14.25" x14ac:dyDescent="0.25"/>
  <cols>
    <col min="1" max="1" width="9.140625" style="1" customWidth="1"/>
    <col min="2" max="2" width="21.28515625" style="1" customWidth="1"/>
    <col min="3" max="3" width="20.28515625" style="1" customWidth="1"/>
    <col min="4" max="4" width="20" style="1" customWidth="1"/>
    <col min="5" max="5" width="17.28515625" style="1" customWidth="1"/>
    <col min="6" max="6" width="11.42578125" style="1" customWidth="1"/>
    <col min="7" max="9" width="9.42578125" style="1" customWidth="1"/>
    <col min="10" max="10" width="10.5703125" style="1" customWidth="1"/>
    <col min="11" max="11" width="9.42578125" style="1" customWidth="1"/>
    <col min="12" max="12" width="14.5703125" style="1" customWidth="1"/>
    <col min="13" max="13" width="21.85546875" style="1" customWidth="1"/>
    <col min="14" max="16384" width="9.140625" style="1"/>
  </cols>
  <sheetData>
    <row r="1" spans="1:13" s="10" customFormat="1" ht="42.75" customHeight="1" x14ac:dyDescent="0.25">
      <c r="A1" s="93" t="s">
        <v>8</v>
      </c>
      <c r="B1" s="93"/>
      <c r="C1" s="93" t="s">
        <v>57</v>
      </c>
      <c r="D1" s="93"/>
      <c r="E1" s="93"/>
      <c r="F1" s="93"/>
      <c r="G1" s="93"/>
      <c r="H1" s="93"/>
      <c r="I1" s="93"/>
      <c r="J1" s="93"/>
      <c r="K1" s="93" t="s">
        <v>25</v>
      </c>
      <c r="L1" s="93"/>
      <c r="M1" s="71">
        <v>46076</v>
      </c>
    </row>
    <row r="2" spans="1:13" s="10" customFormat="1" ht="42.75" customHeight="1" x14ac:dyDescent="0.25">
      <c r="A2" s="11" t="s">
        <v>7</v>
      </c>
      <c r="B2" s="11"/>
      <c r="C2" s="93" t="s">
        <v>56</v>
      </c>
      <c r="D2" s="93"/>
      <c r="E2" s="93"/>
      <c r="F2" s="93"/>
      <c r="G2" s="93"/>
      <c r="H2" s="93"/>
      <c r="I2" s="93"/>
      <c r="J2" s="93"/>
      <c r="K2" s="93" t="s">
        <v>26</v>
      </c>
      <c r="L2" s="93"/>
      <c r="M2" s="72" t="s">
        <v>53</v>
      </c>
    </row>
    <row r="3" spans="1:13" s="12" customFormat="1" ht="42.75" customHeight="1" thickBot="1" x14ac:dyDescent="0.3">
      <c r="A3" s="47" t="s">
        <v>9</v>
      </c>
      <c r="B3" s="17"/>
      <c r="C3" s="94" t="s">
        <v>59</v>
      </c>
      <c r="D3" s="94"/>
      <c r="E3" s="94"/>
      <c r="F3" s="94"/>
      <c r="G3" s="94"/>
      <c r="H3" s="94"/>
      <c r="I3" s="94"/>
      <c r="J3" s="94"/>
      <c r="K3" s="94" t="s">
        <v>58</v>
      </c>
      <c r="L3" s="94"/>
      <c r="M3" s="80" t="s">
        <v>51</v>
      </c>
    </row>
    <row r="4" spans="1:13" s="12" customFormat="1" ht="38.25" customHeight="1" x14ac:dyDescent="0.25">
      <c r="A4" s="4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ht="45.75" customHeight="1" thickBot="1" x14ac:dyDescent="0.3">
      <c r="A5" s="97" t="s">
        <v>49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</row>
    <row r="6" spans="1:13" ht="45.75" customHeight="1" thickBot="1" x14ac:dyDescent="0.3">
      <c r="A6" s="75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3" s="16" customFormat="1" ht="45" x14ac:dyDescent="0.25">
      <c r="A7" s="73" t="s">
        <v>0</v>
      </c>
      <c r="B7" s="73" t="s">
        <v>10</v>
      </c>
      <c r="C7" s="5" t="s">
        <v>63</v>
      </c>
      <c r="D7" s="122" t="s">
        <v>1</v>
      </c>
      <c r="E7" s="122"/>
      <c r="F7" s="122" t="s">
        <v>4</v>
      </c>
      <c r="G7" s="122"/>
      <c r="H7" s="122" t="s">
        <v>5</v>
      </c>
      <c r="I7" s="122"/>
      <c r="J7" s="73" t="s">
        <v>55</v>
      </c>
      <c r="K7" s="120" t="s">
        <v>24</v>
      </c>
      <c r="L7" s="123" t="s">
        <v>6</v>
      </c>
      <c r="M7" s="124"/>
    </row>
    <row r="8" spans="1:13" s="16" customFormat="1" ht="32.25" customHeight="1" x14ac:dyDescent="0.25">
      <c r="A8" s="74"/>
      <c r="B8" s="32">
        <v>1</v>
      </c>
      <c r="C8" s="74"/>
      <c r="D8" s="74" t="s">
        <v>2</v>
      </c>
      <c r="E8" s="74" t="s">
        <v>3</v>
      </c>
      <c r="F8" s="74" t="s">
        <v>2</v>
      </c>
      <c r="G8" s="74" t="s">
        <v>3</v>
      </c>
      <c r="H8" s="74" t="s">
        <v>2</v>
      </c>
      <c r="I8" s="74" t="s">
        <v>3</v>
      </c>
      <c r="J8" s="74" t="s">
        <v>62</v>
      </c>
      <c r="K8" s="121"/>
      <c r="L8" s="125"/>
      <c r="M8" s="126"/>
    </row>
    <row r="9" spans="1:13" s="16" customFormat="1" ht="35.1" customHeight="1" x14ac:dyDescent="0.25">
      <c r="A9" s="34">
        <v>1</v>
      </c>
      <c r="B9" s="32" t="s">
        <v>35</v>
      </c>
      <c r="C9" s="42">
        <v>476</v>
      </c>
      <c r="D9" s="81"/>
      <c r="E9" s="43"/>
      <c r="F9" s="81"/>
      <c r="G9" s="43"/>
      <c r="H9" s="81"/>
      <c r="I9" s="43"/>
      <c r="J9" s="44"/>
      <c r="K9" s="81"/>
      <c r="L9" s="116"/>
      <c r="M9" s="117"/>
    </row>
    <row r="10" spans="1:13" s="16" customFormat="1" ht="35.1" customHeight="1" x14ac:dyDescent="0.25">
      <c r="A10" s="34">
        <v>2</v>
      </c>
      <c r="B10" s="34"/>
      <c r="C10" s="42">
        <v>476</v>
      </c>
      <c r="D10" s="81"/>
      <c r="E10" s="37"/>
      <c r="F10" s="81"/>
      <c r="G10" s="37"/>
      <c r="H10" s="81"/>
      <c r="I10" s="37"/>
      <c r="J10" s="35"/>
      <c r="K10" s="81"/>
      <c r="L10" s="116"/>
      <c r="M10" s="117"/>
    </row>
    <row r="11" spans="1:13" s="16" customFormat="1" ht="35.1" customHeight="1" x14ac:dyDescent="0.25">
      <c r="A11" s="34">
        <v>3</v>
      </c>
      <c r="B11" s="34"/>
      <c r="C11" s="42">
        <v>476</v>
      </c>
      <c r="D11" s="81"/>
      <c r="E11" s="37"/>
      <c r="F11" s="81"/>
      <c r="G11" s="37"/>
      <c r="H11" s="81"/>
      <c r="I11" s="37"/>
      <c r="J11" s="35"/>
      <c r="K11" s="81"/>
      <c r="L11" s="116"/>
      <c r="M11" s="117"/>
    </row>
    <row r="12" spans="1:13" s="16" customFormat="1" ht="35.1" customHeight="1" x14ac:dyDescent="0.25">
      <c r="A12" s="34">
        <v>4</v>
      </c>
      <c r="B12" s="34"/>
      <c r="C12" s="42">
        <v>476</v>
      </c>
      <c r="D12" s="81"/>
      <c r="E12" s="37"/>
      <c r="F12" s="81"/>
      <c r="G12" s="37"/>
      <c r="H12" s="81"/>
      <c r="I12" s="37"/>
      <c r="J12" s="35"/>
      <c r="K12" s="81"/>
      <c r="L12" s="116"/>
      <c r="M12" s="117"/>
    </row>
    <row r="13" spans="1:13" s="16" customFormat="1" ht="35.1" customHeight="1" x14ac:dyDescent="0.25">
      <c r="A13" s="34">
        <v>5</v>
      </c>
      <c r="B13" s="34"/>
      <c r="C13" s="42">
        <v>476</v>
      </c>
      <c r="D13" s="81"/>
      <c r="E13" s="37"/>
      <c r="F13" s="81"/>
      <c r="G13" s="37"/>
      <c r="H13" s="81"/>
      <c r="I13" s="37"/>
      <c r="J13" s="35"/>
      <c r="K13" s="81"/>
      <c r="L13" s="116"/>
      <c r="M13" s="117"/>
    </row>
    <row r="14" spans="1:13" s="16" customFormat="1" ht="35.1" customHeight="1" x14ac:dyDescent="0.25">
      <c r="A14" s="34">
        <v>6</v>
      </c>
      <c r="B14" s="36"/>
      <c r="C14" s="42">
        <v>476</v>
      </c>
      <c r="D14" s="81"/>
      <c r="E14" s="38"/>
      <c r="F14" s="81"/>
      <c r="G14" s="38"/>
      <c r="H14" s="81"/>
      <c r="I14" s="38"/>
      <c r="J14" s="35"/>
      <c r="K14" s="81"/>
      <c r="L14" s="116"/>
      <c r="M14" s="117"/>
    </row>
    <row r="15" spans="1:13" s="16" customFormat="1" ht="35.1" customHeight="1" x14ac:dyDescent="0.25">
      <c r="A15" s="34">
        <v>7</v>
      </c>
      <c r="B15" s="32"/>
      <c r="C15" s="42">
        <v>476</v>
      </c>
      <c r="D15" s="81"/>
      <c r="E15" s="38"/>
      <c r="F15" s="81"/>
      <c r="G15" s="38"/>
      <c r="H15" s="81"/>
      <c r="I15" s="38"/>
      <c r="J15" s="44"/>
      <c r="K15" s="81"/>
      <c r="L15" s="116"/>
      <c r="M15" s="117"/>
    </row>
    <row r="16" spans="1:13" s="16" customFormat="1" ht="35.1" customHeight="1" x14ac:dyDescent="0.25">
      <c r="A16" s="34">
        <v>8</v>
      </c>
      <c r="B16" s="39"/>
      <c r="C16" s="42">
        <v>476</v>
      </c>
      <c r="D16" s="81"/>
      <c r="E16" s="37"/>
      <c r="F16" s="81"/>
      <c r="G16" s="37"/>
      <c r="H16" s="81"/>
      <c r="I16" s="37"/>
      <c r="J16" s="35"/>
      <c r="K16" s="81"/>
      <c r="L16" s="116"/>
      <c r="M16" s="117"/>
    </row>
    <row r="17" spans="1:13" s="2" customFormat="1" ht="35.1" customHeight="1" x14ac:dyDescent="0.25">
      <c r="A17" s="34">
        <v>9</v>
      </c>
      <c r="B17" s="32"/>
      <c r="C17" s="42">
        <v>476</v>
      </c>
      <c r="D17" s="81"/>
      <c r="E17" s="37"/>
      <c r="F17" s="81"/>
      <c r="G17" s="37"/>
      <c r="H17" s="81"/>
      <c r="I17" s="37"/>
      <c r="J17" s="35">
        <f>AVERAGE(C9:C17)</f>
        <v>476</v>
      </c>
      <c r="K17" s="81"/>
      <c r="L17" s="116"/>
      <c r="M17" s="117"/>
    </row>
    <row r="18" spans="1:13" ht="35.1" customHeight="1" x14ac:dyDescent="0.25">
      <c r="A18" s="34">
        <v>1</v>
      </c>
      <c r="B18" s="36" t="s">
        <v>40</v>
      </c>
      <c r="C18" s="42">
        <v>476</v>
      </c>
      <c r="D18" s="81"/>
      <c r="E18" s="45"/>
      <c r="F18" s="81"/>
      <c r="G18" s="45"/>
      <c r="H18" s="81"/>
      <c r="I18" s="45"/>
      <c r="J18" s="44"/>
      <c r="K18" s="81"/>
      <c r="L18" s="116"/>
      <c r="M18" s="117"/>
    </row>
    <row r="19" spans="1:13" ht="35.1" customHeight="1" x14ac:dyDescent="0.25">
      <c r="A19" s="34">
        <v>2</v>
      </c>
      <c r="B19" s="39"/>
      <c r="C19" s="42">
        <v>476</v>
      </c>
      <c r="D19" s="81"/>
      <c r="E19" s="37"/>
      <c r="F19" s="81"/>
      <c r="G19" s="37"/>
      <c r="H19" s="81"/>
      <c r="I19" s="37"/>
      <c r="J19" s="35"/>
      <c r="K19" s="81"/>
      <c r="L19" s="116"/>
      <c r="M19" s="117"/>
    </row>
    <row r="20" spans="1:13" ht="35.1" customHeight="1" x14ac:dyDescent="0.25">
      <c r="A20" s="34">
        <v>3</v>
      </c>
      <c r="B20" s="39"/>
      <c r="C20" s="42">
        <v>476</v>
      </c>
      <c r="D20" s="81"/>
      <c r="E20" s="37"/>
      <c r="F20" s="81"/>
      <c r="G20" s="37"/>
      <c r="H20" s="81"/>
      <c r="I20" s="37"/>
      <c r="J20" s="35"/>
      <c r="K20" s="81"/>
      <c r="L20" s="116"/>
      <c r="M20" s="117"/>
    </row>
    <row r="21" spans="1:13" ht="35.1" customHeight="1" x14ac:dyDescent="0.25">
      <c r="A21" s="34">
        <v>4</v>
      </c>
      <c r="B21" s="36"/>
      <c r="C21" s="42">
        <v>476</v>
      </c>
      <c r="D21" s="81"/>
      <c r="E21" s="37"/>
      <c r="F21" s="81"/>
      <c r="G21" s="37"/>
      <c r="H21" s="81"/>
      <c r="I21" s="38"/>
      <c r="J21" s="35"/>
      <c r="K21" s="81"/>
      <c r="L21" s="116"/>
      <c r="M21" s="117"/>
    </row>
    <row r="22" spans="1:13" ht="35.1" customHeight="1" x14ac:dyDescent="0.25">
      <c r="A22" s="34">
        <v>5</v>
      </c>
      <c r="B22" s="36"/>
      <c r="C22" s="42">
        <v>476</v>
      </c>
      <c r="D22" s="81"/>
      <c r="E22" s="45"/>
      <c r="F22" s="81"/>
      <c r="G22" s="45"/>
      <c r="H22" s="81"/>
      <c r="I22" s="45"/>
      <c r="J22" s="44"/>
      <c r="K22" s="81"/>
      <c r="L22" s="116"/>
      <c r="M22" s="117"/>
    </row>
    <row r="23" spans="1:13" ht="35.1" customHeight="1" x14ac:dyDescent="0.25">
      <c r="A23" s="34">
        <v>6</v>
      </c>
      <c r="B23" s="34"/>
      <c r="C23" s="42">
        <v>476</v>
      </c>
      <c r="D23" s="81"/>
      <c r="E23" s="37"/>
      <c r="F23" s="81"/>
      <c r="G23" s="37"/>
      <c r="H23" s="81"/>
      <c r="I23" s="37"/>
      <c r="J23" s="35"/>
      <c r="K23" s="81"/>
      <c r="L23" s="116"/>
      <c r="M23" s="117"/>
    </row>
    <row r="24" spans="1:13" ht="35.1" customHeight="1" x14ac:dyDescent="0.25">
      <c r="A24" s="34">
        <v>7</v>
      </c>
      <c r="B24" s="34"/>
      <c r="C24" s="42">
        <v>476</v>
      </c>
      <c r="D24" s="81"/>
      <c r="E24" s="37"/>
      <c r="F24" s="81"/>
      <c r="G24" s="37"/>
      <c r="H24" s="81"/>
      <c r="I24" s="37"/>
      <c r="J24" s="35"/>
      <c r="K24" s="81"/>
      <c r="L24" s="116"/>
      <c r="M24" s="117"/>
    </row>
    <row r="25" spans="1:13" ht="35.1" customHeight="1" x14ac:dyDescent="0.25">
      <c r="A25" s="34">
        <v>8</v>
      </c>
      <c r="B25" s="34"/>
      <c r="C25" s="42">
        <v>476</v>
      </c>
      <c r="D25" s="81"/>
      <c r="E25" s="37"/>
      <c r="F25" s="81"/>
      <c r="G25" s="37"/>
      <c r="H25" s="81"/>
      <c r="I25" s="38"/>
      <c r="J25" s="35">
        <f>AVERAGE(C18:C25)</f>
        <v>476</v>
      </c>
      <c r="K25" s="81"/>
      <c r="L25" s="116"/>
      <c r="M25" s="117"/>
    </row>
    <row r="26" spans="1:13" ht="35.1" customHeight="1" x14ac:dyDescent="0.25">
      <c r="A26" s="34">
        <v>1</v>
      </c>
      <c r="B26" s="36" t="s">
        <v>67</v>
      </c>
      <c r="C26" s="42">
        <v>476</v>
      </c>
      <c r="D26" s="81"/>
      <c r="E26" s="45"/>
      <c r="F26" s="81"/>
      <c r="G26" s="45"/>
      <c r="H26" s="81"/>
      <c r="I26" s="45"/>
      <c r="J26" s="44"/>
      <c r="K26" s="81"/>
      <c r="L26" s="116"/>
      <c r="M26" s="117"/>
    </row>
    <row r="27" spans="1:13" ht="35.1" customHeight="1" x14ac:dyDescent="0.25">
      <c r="A27" s="34">
        <v>2</v>
      </c>
      <c r="B27" s="34"/>
      <c r="C27" s="42">
        <v>476</v>
      </c>
      <c r="D27" s="81"/>
      <c r="E27" s="37"/>
      <c r="F27" s="81"/>
      <c r="G27" s="37"/>
      <c r="H27" s="81"/>
      <c r="I27" s="37"/>
      <c r="J27" s="35"/>
      <c r="K27" s="81"/>
      <c r="L27" s="116"/>
      <c r="M27" s="117"/>
    </row>
    <row r="28" spans="1:13" ht="35.1" customHeight="1" x14ac:dyDescent="0.25">
      <c r="A28" s="34">
        <v>3</v>
      </c>
      <c r="B28" s="34"/>
      <c r="C28" s="42">
        <v>476</v>
      </c>
      <c r="D28" s="81"/>
      <c r="E28" s="37"/>
      <c r="F28" s="81"/>
      <c r="G28" s="37"/>
      <c r="H28" s="81"/>
      <c r="I28" s="37"/>
      <c r="J28" s="35"/>
      <c r="K28" s="81"/>
      <c r="L28" s="116"/>
      <c r="M28" s="117"/>
    </row>
    <row r="29" spans="1:13" ht="35.1" customHeight="1" x14ac:dyDescent="0.25">
      <c r="A29" s="34">
        <v>4</v>
      </c>
      <c r="B29" s="34"/>
      <c r="C29" s="42">
        <v>476</v>
      </c>
      <c r="D29" s="81"/>
      <c r="E29" s="37"/>
      <c r="F29" s="81"/>
      <c r="G29" s="37"/>
      <c r="H29" s="81"/>
      <c r="I29" s="38"/>
      <c r="J29" s="35"/>
      <c r="K29" s="81"/>
      <c r="L29" s="116"/>
      <c r="M29" s="117"/>
    </row>
    <row r="30" spans="1:13" ht="35.1" customHeight="1" x14ac:dyDescent="0.25">
      <c r="A30" s="34">
        <v>5</v>
      </c>
      <c r="B30" s="36"/>
      <c r="C30" s="42">
        <v>476</v>
      </c>
      <c r="D30" s="81"/>
      <c r="E30" s="45"/>
      <c r="F30" s="81"/>
      <c r="G30" s="45"/>
      <c r="H30" s="81"/>
      <c r="I30" s="45"/>
      <c r="J30" s="44"/>
      <c r="K30" s="81"/>
      <c r="L30" s="116"/>
      <c r="M30" s="117"/>
    </row>
    <row r="31" spans="1:13" ht="35.1" customHeight="1" x14ac:dyDescent="0.25">
      <c r="A31" s="34">
        <v>6</v>
      </c>
      <c r="B31" s="34"/>
      <c r="C31" s="42">
        <v>476</v>
      </c>
      <c r="D31" s="81"/>
      <c r="E31" s="37"/>
      <c r="F31" s="81"/>
      <c r="G31" s="37"/>
      <c r="H31" s="81"/>
      <c r="I31" s="37"/>
      <c r="J31" s="35">
        <f>AVERAGE(C26:C31)</f>
        <v>476</v>
      </c>
      <c r="K31" s="81"/>
      <c r="L31" s="116"/>
      <c r="M31" s="117"/>
    </row>
    <row r="32" spans="1:13" ht="35.1" customHeight="1" x14ac:dyDescent="0.25">
      <c r="A32" s="34">
        <v>1</v>
      </c>
      <c r="B32" s="36" t="s">
        <v>47</v>
      </c>
      <c r="C32" s="42">
        <v>476</v>
      </c>
      <c r="D32" s="81"/>
      <c r="E32" s="37"/>
      <c r="F32" s="81"/>
      <c r="G32" s="37"/>
      <c r="H32" s="81"/>
      <c r="I32" s="37"/>
      <c r="J32" s="35"/>
      <c r="K32" s="81"/>
      <c r="L32" s="116"/>
      <c r="M32" s="117"/>
    </row>
    <row r="33" spans="1:13" ht="35.1" customHeight="1" x14ac:dyDescent="0.25">
      <c r="A33" s="34">
        <v>2</v>
      </c>
      <c r="B33" s="34"/>
      <c r="C33" s="42">
        <v>476</v>
      </c>
      <c r="D33" s="81"/>
      <c r="E33" s="37"/>
      <c r="F33" s="81"/>
      <c r="G33" s="37"/>
      <c r="H33" s="81"/>
      <c r="I33" s="38"/>
      <c r="J33" s="35"/>
      <c r="K33" s="81"/>
      <c r="L33" s="116"/>
      <c r="M33" s="117"/>
    </row>
    <row r="34" spans="1:13" ht="35.1" customHeight="1" x14ac:dyDescent="0.25">
      <c r="A34" s="34">
        <v>3</v>
      </c>
      <c r="B34" s="32"/>
      <c r="C34" s="42">
        <v>476</v>
      </c>
      <c r="D34" s="81"/>
      <c r="E34" s="45"/>
      <c r="F34" s="81"/>
      <c r="G34" s="45"/>
      <c r="H34" s="81"/>
      <c r="I34" s="45"/>
      <c r="J34" s="35"/>
      <c r="K34" s="81"/>
      <c r="L34" s="116"/>
      <c r="M34" s="117"/>
    </row>
    <row r="35" spans="1:13" ht="35.1" customHeight="1" x14ac:dyDescent="0.25">
      <c r="A35" s="34">
        <v>4</v>
      </c>
      <c r="B35" s="36"/>
      <c r="C35" s="42">
        <v>476</v>
      </c>
      <c r="D35" s="81"/>
      <c r="E35" s="37"/>
      <c r="F35" s="81"/>
      <c r="G35" s="37"/>
      <c r="H35" s="81"/>
      <c r="I35" s="37"/>
      <c r="J35" s="35"/>
      <c r="K35" s="81"/>
      <c r="L35" s="116"/>
      <c r="M35" s="117"/>
    </row>
    <row r="36" spans="1:13" ht="35.1" customHeight="1" x14ac:dyDescent="0.25">
      <c r="A36" s="34">
        <v>5</v>
      </c>
      <c r="B36" s="34"/>
      <c r="C36" s="42">
        <v>476</v>
      </c>
      <c r="D36" s="81"/>
      <c r="E36" s="37"/>
      <c r="F36" s="81"/>
      <c r="G36" s="37"/>
      <c r="H36" s="81"/>
      <c r="I36" s="37"/>
      <c r="J36" s="35"/>
      <c r="K36" s="81"/>
      <c r="L36" s="116"/>
      <c r="M36" s="117"/>
    </row>
    <row r="37" spans="1:13" ht="35.1" customHeight="1" x14ac:dyDescent="0.25">
      <c r="A37" s="34">
        <v>6</v>
      </c>
      <c r="B37" s="34"/>
      <c r="C37" s="42">
        <v>476</v>
      </c>
      <c r="D37" s="81"/>
      <c r="E37" s="37"/>
      <c r="F37" s="81"/>
      <c r="G37" s="37"/>
      <c r="H37" s="81"/>
      <c r="I37" s="38"/>
      <c r="J37" s="35"/>
      <c r="K37" s="81"/>
      <c r="L37" s="116"/>
      <c r="M37" s="117"/>
    </row>
    <row r="38" spans="1:13" ht="35.1" customHeight="1" x14ac:dyDescent="0.25">
      <c r="A38" s="34">
        <v>7</v>
      </c>
      <c r="B38" s="34"/>
      <c r="C38" s="42">
        <v>476</v>
      </c>
      <c r="D38" s="81"/>
      <c r="E38" s="37"/>
      <c r="F38" s="81"/>
      <c r="G38" s="37"/>
      <c r="H38" s="81"/>
      <c r="I38" s="38"/>
      <c r="J38" s="35"/>
      <c r="K38" s="81"/>
      <c r="L38" s="116"/>
      <c r="M38" s="117"/>
    </row>
    <row r="39" spans="1:13" ht="35.1" customHeight="1" x14ac:dyDescent="0.25">
      <c r="A39" s="34">
        <v>8</v>
      </c>
      <c r="B39" s="34"/>
      <c r="C39" s="42">
        <v>476</v>
      </c>
      <c r="D39" s="81"/>
      <c r="E39" s="37"/>
      <c r="F39" s="81"/>
      <c r="G39" s="37"/>
      <c r="H39" s="81"/>
      <c r="I39" s="38"/>
      <c r="J39" s="35"/>
      <c r="K39" s="81"/>
      <c r="L39" s="116"/>
      <c r="M39" s="117"/>
    </row>
    <row r="40" spans="1:13" ht="35.1" customHeight="1" thickBot="1" x14ac:dyDescent="0.3">
      <c r="A40" s="77">
        <v>9</v>
      </c>
      <c r="B40" s="83"/>
      <c r="C40" s="84">
        <v>476</v>
      </c>
      <c r="D40" s="82"/>
      <c r="E40" s="78"/>
      <c r="F40" s="82"/>
      <c r="G40" s="78"/>
      <c r="H40" s="82"/>
      <c r="I40" s="78"/>
      <c r="J40" s="79">
        <f>AVERAGE(C32:C40)</f>
        <v>476</v>
      </c>
      <c r="K40" s="82"/>
      <c r="L40" s="118"/>
      <c r="M40" s="119"/>
    </row>
    <row r="41" spans="1:13" ht="18.75" customHeight="1" x14ac:dyDescent="0.25">
      <c r="A41" s="56"/>
    </row>
    <row r="42" spans="1:13" ht="18.75" customHeight="1" x14ac:dyDescent="0.25">
      <c r="A42" s="56" t="s">
        <v>19</v>
      </c>
    </row>
    <row r="43" spans="1:13" ht="18.75" customHeight="1" x14ac:dyDescent="0.25">
      <c r="A43" s="56"/>
    </row>
    <row r="44" spans="1:13" s="9" customFormat="1" ht="27" customHeight="1" x14ac:dyDescent="0.25">
      <c r="A44" s="60"/>
      <c r="B44" s="86" t="s">
        <v>27</v>
      </c>
      <c r="C44" s="86"/>
      <c r="K44" s="90" t="s">
        <v>28</v>
      </c>
      <c r="L44" s="90"/>
      <c r="M44" s="90"/>
    </row>
    <row r="45" spans="1:13" s="9" customFormat="1" ht="30" customHeight="1" x14ac:dyDescent="0.25">
      <c r="A45" s="60"/>
      <c r="B45" s="91"/>
      <c r="C45" s="91"/>
      <c r="K45" s="91"/>
      <c r="L45" s="91"/>
      <c r="M45" s="91"/>
    </row>
    <row r="46" spans="1:13" s="9" customFormat="1" ht="27" customHeight="1" x14ac:dyDescent="0.25">
      <c r="A46" s="60"/>
      <c r="B46" s="92"/>
      <c r="C46" s="92"/>
      <c r="K46" s="92"/>
      <c r="L46" s="92"/>
      <c r="M46" s="92"/>
    </row>
    <row r="47" spans="1:13" s="9" customFormat="1" ht="33.75" customHeight="1" x14ac:dyDescent="0.25">
      <c r="A47" s="60"/>
      <c r="B47" s="90" t="s">
        <v>50</v>
      </c>
      <c r="C47" s="90"/>
      <c r="K47" s="90" t="s">
        <v>61</v>
      </c>
      <c r="L47" s="90"/>
      <c r="M47" s="90"/>
    </row>
    <row r="48" spans="1:13" s="9" customFormat="1" ht="27" customHeight="1" x14ac:dyDescent="0.25">
      <c r="A48" s="60"/>
      <c r="B48" s="86" t="s">
        <v>56</v>
      </c>
      <c r="C48" s="86"/>
      <c r="K48" s="9" t="s">
        <v>60</v>
      </c>
    </row>
  </sheetData>
  <mergeCells count="54">
    <mergeCell ref="A1:B1"/>
    <mergeCell ref="C1:J1"/>
    <mergeCell ref="K1:L1"/>
    <mergeCell ref="C2:J2"/>
    <mergeCell ref="K2:L2"/>
    <mergeCell ref="C3:J3"/>
    <mergeCell ref="K3:L3"/>
    <mergeCell ref="A5:M5"/>
    <mergeCell ref="D7:E7"/>
    <mergeCell ref="F7:G7"/>
    <mergeCell ref="H7:I7"/>
    <mergeCell ref="L7:M8"/>
    <mergeCell ref="B47:C47"/>
    <mergeCell ref="K47:M47"/>
    <mergeCell ref="B48:C48"/>
    <mergeCell ref="B44:C44"/>
    <mergeCell ref="K44:M44"/>
    <mergeCell ref="B45:C45"/>
    <mergeCell ref="K45:M45"/>
    <mergeCell ref="B46:C46"/>
    <mergeCell ref="K46:M46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27:M27"/>
    <mergeCell ref="L28:M28"/>
    <mergeCell ref="L19:M19"/>
    <mergeCell ref="L20:M20"/>
    <mergeCell ref="L21:M21"/>
    <mergeCell ref="L22:M22"/>
    <mergeCell ref="L23:M23"/>
    <mergeCell ref="L39:M39"/>
    <mergeCell ref="L40:M40"/>
    <mergeCell ref="K7:K8"/>
    <mergeCell ref="L34:M34"/>
    <mergeCell ref="L35:M35"/>
    <mergeCell ref="L36:M36"/>
    <mergeCell ref="L37:M37"/>
    <mergeCell ref="L38:M38"/>
    <mergeCell ref="L29:M29"/>
    <mergeCell ref="L30:M30"/>
    <mergeCell ref="L31:M31"/>
    <mergeCell ref="L32:M32"/>
    <mergeCell ref="L33:M33"/>
    <mergeCell ref="L24:M24"/>
    <mergeCell ref="L25:M25"/>
    <mergeCell ref="L26:M26"/>
  </mergeCells>
  <pageMargins left="0.7" right="0.7" top="0.75" bottom="0.75" header="0.3" footer="0.3"/>
  <pageSetup paperSize="9" scale="43" fitToHeight="0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view="pageBreakPreview" zoomScale="70" zoomScaleNormal="85" zoomScaleSheetLayoutView="70" workbookViewId="0">
      <selection activeCell="M4" sqref="M4"/>
    </sheetView>
  </sheetViews>
  <sheetFormatPr defaultRowHeight="14.25" x14ac:dyDescent="0.25"/>
  <cols>
    <col min="1" max="1" width="9.140625" style="1" customWidth="1"/>
    <col min="2" max="2" width="21.28515625" style="1" customWidth="1"/>
    <col min="3" max="3" width="20.28515625" style="1" customWidth="1"/>
    <col min="4" max="4" width="20" style="1" customWidth="1"/>
    <col min="5" max="5" width="17.28515625" style="1" customWidth="1"/>
    <col min="6" max="6" width="11.42578125" style="1" customWidth="1"/>
    <col min="7" max="9" width="9.42578125" style="1" customWidth="1"/>
    <col min="10" max="10" width="10.5703125" style="1" customWidth="1"/>
    <col min="11" max="11" width="9.42578125" style="1" customWidth="1"/>
    <col min="12" max="12" width="14.85546875" style="1" customWidth="1"/>
    <col min="13" max="13" width="15.7109375" style="1" bestFit="1" customWidth="1"/>
    <col min="14" max="16384" width="9.140625" style="1"/>
  </cols>
  <sheetData>
    <row r="1" spans="1:13" s="10" customFormat="1" ht="42.75" customHeight="1" x14ac:dyDescent="0.25">
      <c r="A1" s="93" t="s">
        <v>8</v>
      </c>
      <c r="B1" s="93"/>
      <c r="C1" s="93" t="s">
        <v>57</v>
      </c>
      <c r="D1" s="93"/>
      <c r="E1" s="93"/>
      <c r="F1" s="93"/>
      <c r="G1" s="93"/>
      <c r="H1" s="93"/>
      <c r="I1" s="93"/>
      <c r="J1" s="93"/>
      <c r="K1" s="93" t="s">
        <v>25</v>
      </c>
      <c r="L1" s="93"/>
      <c r="M1" s="71">
        <v>46076</v>
      </c>
    </row>
    <row r="2" spans="1:13" s="10" customFormat="1" ht="42.75" customHeight="1" x14ac:dyDescent="0.25">
      <c r="A2" s="11" t="s">
        <v>7</v>
      </c>
      <c r="B2" s="11"/>
      <c r="C2" s="93" t="s">
        <v>56</v>
      </c>
      <c r="D2" s="93"/>
      <c r="E2" s="93"/>
      <c r="F2" s="93"/>
      <c r="G2" s="93"/>
      <c r="H2" s="93"/>
      <c r="I2" s="93"/>
      <c r="J2" s="93"/>
      <c r="K2" s="93" t="s">
        <v>26</v>
      </c>
      <c r="L2" s="93"/>
      <c r="M2" s="72" t="s">
        <v>54</v>
      </c>
    </row>
    <row r="3" spans="1:13" s="12" customFormat="1" ht="42.75" customHeight="1" thickBot="1" x14ac:dyDescent="0.3">
      <c r="A3" s="47" t="s">
        <v>9</v>
      </c>
      <c r="B3" s="17"/>
      <c r="C3" s="94" t="s">
        <v>59</v>
      </c>
      <c r="D3" s="94"/>
      <c r="E3" s="94"/>
      <c r="F3" s="94"/>
      <c r="G3" s="94"/>
      <c r="H3" s="94"/>
      <c r="I3" s="94"/>
      <c r="J3" s="94"/>
      <c r="K3" s="94" t="s">
        <v>58</v>
      </c>
      <c r="L3" s="94"/>
      <c r="M3" s="80" t="s">
        <v>52</v>
      </c>
    </row>
    <row r="4" spans="1:13" s="12" customFormat="1" ht="38.25" customHeight="1" x14ac:dyDescent="0.25">
      <c r="A4" s="1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ht="45.75" customHeight="1" thickBot="1" x14ac:dyDescent="0.3">
      <c r="A5" s="97" t="s">
        <v>49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</row>
    <row r="6" spans="1:13" ht="45.75" customHeight="1" thickBo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3" s="16" customFormat="1" ht="45" x14ac:dyDescent="0.25">
      <c r="A7" s="4" t="s">
        <v>0</v>
      </c>
      <c r="B7" s="5" t="s">
        <v>10</v>
      </c>
      <c r="C7" s="5" t="s">
        <v>63</v>
      </c>
      <c r="D7" s="130" t="s">
        <v>1</v>
      </c>
      <c r="E7" s="130"/>
      <c r="F7" s="130" t="s">
        <v>4</v>
      </c>
      <c r="G7" s="130"/>
      <c r="H7" s="130" t="s">
        <v>5</v>
      </c>
      <c r="I7" s="130"/>
      <c r="J7" s="5" t="s">
        <v>55</v>
      </c>
      <c r="K7" s="127" t="s">
        <v>24</v>
      </c>
      <c r="L7" s="131" t="s">
        <v>6</v>
      </c>
      <c r="M7" s="132"/>
    </row>
    <row r="8" spans="1:13" s="16" customFormat="1" ht="32.25" customHeight="1" x14ac:dyDescent="0.25">
      <c r="A8" s="6"/>
      <c r="B8" s="32">
        <v>2</v>
      </c>
      <c r="C8" s="74"/>
      <c r="D8" s="74" t="s">
        <v>2</v>
      </c>
      <c r="E8" s="74" t="s">
        <v>3</v>
      </c>
      <c r="F8" s="74" t="s">
        <v>2</v>
      </c>
      <c r="G8" s="74" t="s">
        <v>3</v>
      </c>
      <c r="H8" s="74" t="s">
        <v>2</v>
      </c>
      <c r="I8" s="74" t="s">
        <v>3</v>
      </c>
      <c r="J8" s="74" t="s">
        <v>62</v>
      </c>
      <c r="K8" s="121"/>
      <c r="L8" s="125"/>
      <c r="M8" s="133"/>
    </row>
    <row r="9" spans="1:13" s="16" customFormat="1" ht="35.1" customHeight="1" x14ac:dyDescent="0.25">
      <c r="A9" s="33">
        <v>1</v>
      </c>
      <c r="B9" s="32" t="s">
        <v>36</v>
      </c>
      <c r="C9" s="34">
        <v>244</v>
      </c>
      <c r="D9" s="81"/>
      <c r="E9" s="34"/>
      <c r="F9" s="81"/>
      <c r="G9" s="34"/>
      <c r="H9" s="81"/>
      <c r="I9" s="34"/>
      <c r="J9" s="35"/>
      <c r="K9" s="81"/>
      <c r="L9" s="116"/>
      <c r="M9" s="128"/>
    </row>
    <row r="10" spans="1:13" s="16" customFormat="1" ht="35.1" customHeight="1" x14ac:dyDescent="0.25">
      <c r="A10" s="33">
        <v>2</v>
      </c>
      <c r="B10" s="34"/>
      <c r="C10" s="34">
        <v>244</v>
      </c>
      <c r="D10" s="81"/>
      <c r="E10" s="34"/>
      <c r="F10" s="81"/>
      <c r="G10" s="34"/>
      <c r="H10" s="81"/>
      <c r="I10" s="34"/>
      <c r="J10" s="35"/>
      <c r="K10" s="81"/>
      <c r="L10" s="116"/>
      <c r="M10" s="128"/>
    </row>
    <row r="11" spans="1:13" s="16" customFormat="1" ht="35.1" customHeight="1" x14ac:dyDescent="0.25">
      <c r="A11" s="33">
        <v>3</v>
      </c>
      <c r="B11" s="34"/>
      <c r="C11" s="34">
        <v>244</v>
      </c>
      <c r="D11" s="81"/>
      <c r="E11" s="34"/>
      <c r="F11" s="81"/>
      <c r="G11" s="34"/>
      <c r="H11" s="81"/>
      <c r="I11" s="34"/>
      <c r="J11" s="35"/>
      <c r="K11" s="81"/>
      <c r="L11" s="116"/>
      <c r="M11" s="128"/>
    </row>
    <row r="12" spans="1:13" s="16" customFormat="1" ht="35.1" customHeight="1" x14ac:dyDescent="0.25">
      <c r="A12" s="33">
        <v>4</v>
      </c>
      <c r="B12" s="36"/>
      <c r="C12" s="34">
        <v>244</v>
      </c>
      <c r="D12" s="81"/>
      <c r="E12" s="37"/>
      <c r="F12" s="81"/>
      <c r="G12" s="37"/>
      <c r="H12" s="81"/>
      <c r="I12" s="37"/>
      <c r="J12" s="35"/>
      <c r="K12" s="81"/>
      <c r="L12" s="116"/>
      <c r="M12" s="128"/>
    </row>
    <row r="13" spans="1:13" s="16" customFormat="1" ht="35.1" customHeight="1" x14ac:dyDescent="0.25">
      <c r="A13" s="33">
        <v>5</v>
      </c>
      <c r="B13" s="32"/>
      <c r="C13" s="34">
        <v>244</v>
      </c>
      <c r="D13" s="81"/>
      <c r="E13" s="37"/>
      <c r="F13" s="81"/>
      <c r="G13" s="37"/>
      <c r="H13" s="81"/>
      <c r="I13" s="37"/>
      <c r="J13" s="35"/>
      <c r="K13" s="81"/>
      <c r="L13" s="116"/>
      <c r="M13" s="128"/>
    </row>
    <row r="14" spans="1:13" s="16" customFormat="1" ht="35.1" customHeight="1" x14ac:dyDescent="0.25">
      <c r="A14" s="33">
        <v>6</v>
      </c>
      <c r="B14" s="39"/>
      <c r="C14" s="34">
        <v>244</v>
      </c>
      <c r="D14" s="81"/>
      <c r="E14" s="37"/>
      <c r="F14" s="81"/>
      <c r="G14" s="37"/>
      <c r="H14" s="81"/>
      <c r="I14" s="40"/>
      <c r="J14" s="35"/>
      <c r="K14" s="81"/>
      <c r="L14" s="116"/>
      <c r="M14" s="128"/>
    </row>
    <row r="15" spans="1:13" s="2" customFormat="1" ht="35.1" customHeight="1" x14ac:dyDescent="0.25">
      <c r="A15" s="33">
        <v>7</v>
      </c>
      <c r="B15" s="32"/>
      <c r="C15" s="34">
        <v>244</v>
      </c>
      <c r="D15" s="81"/>
      <c r="E15" s="37"/>
      <c r="F15" s="81"/>
      <c r="G15" s="37"/>
      <c r="H15" s="81"/>
      <c r="I15" s="37"/>
      <c r="J15" s="35"/>
      <c r="K15" s="81"/>
      <c r="L15" s="116"/>
      <c r="M15" s="128"/>
    </row>
    <row r="16" spans="1:13" s="2" customFormat="1" ht="35.1" customHeight="1" x14ac:dyDescent="0.25">
      <c r="A16" s="33">
        <v>8</v>
      </c>
      <c r="B16" s="34"/>
      <c r="C16" s="34">
        <v>244</v>
      </c>
      <c r="D16" s="81"/>
      <c r="E16" s="37"/>
      <c r="F16" s="81"/>
      <c r="G16" s="37"/>
      <c r="H16" s="81"/>
      <c r="I16" s="37"/>
      <c r="J16" s="35"/>
      <c r="K16" s="81"/>
      <c r="L16" s="116"/>
      <c r="M16" s="128"/>
    </row>
    <row r="17" spans="1:13" ht="35.1" customHeight="1" x14ac:dyDescent="0.25">
      <c r="A17" s="33">
        <v>9</v>
      </c>
      <c r="B17" s="32"/>
      <c r="C17" s="34">
        <v>244</v>
      </c>
      <c r="D17" s="81"/>
      <c r="E17" s="37"/>
      <c r="F17" s="81"/>
      <c r="G17" s="37"/>
      <c r="H17" s="81"/>
      <c r="I17" s="37"/>
      <c r="J17" s="35">
        <f>AVERAGE(C9:C17)</f>
        <v>244</v>
      </c>
      <c r="K17" s="81"/>
      <c r="L17" s="116"/>
      <c r="M17" s="128"/>
    </row>
    <row r="18" spans="1:13" ht="35.1" customHeight="1" x14ac:dyDescent="0.25">
      <c r="A18" s="33">
        <v>1</v>
      </c>
      <c r="B18" s="32" t="s">
        <v>48</v>
      </c>
      <c r="C18" s="34">
        <v>244</v>
      </c>
      <c r="D18" s="81"/>
      <c r="E18" s="34"/>
      <c r="F18" s="81"/>
      <c r="G18" s="34"/>
      <c r="H18" s="81"/>
      <c r="I18" s="34"/>
      <c r="J18" s="35"/>
      <c r="K18" s="81"/>
      <c r="L18" s="116"/>
      <c r="M18" s="128"/>
    </row>
    <row r="19" spans="1:13" ht="35.1" customHeight="1" x14ac:dyDescent="0.25">
      <c r="A19" s="33">
        <v>2</v>
      </c>
      <c r="B19" s="34"/>
      <c r="C19" s="34">
        <v>244</v>
      </c>
      <c r="D19" s="81"/>
      <c r="E19" s="34"/>
      <c r="F19" s="81"/>
      <c r="G19" s="34"/>
      <c r="H19" s="81"/>
      <c r="I19" s="34"/>
      <c r="J19" s="35"/>
      <c r="K19" s="81"/>
      <c r="L19" s="116"/>
      <c r="M19" s="128"/>
    </row>
    <row r="20" spans="1:13" ht="35.1" customHeight="1" x14ac:dyDescent="0.25">
      <c r="A20" s="33">
        <v>3</v>
      </c>
      <c r="B20" s="34"/>
      <c r="C20" s="34">
        <v>244</v>
      </c>
      <c r="D20" s="81"/>
      <c r="E20" s="34"/>
      <c r="F20" s="81"/>
      <c r="G20" s="34"/>
      <c r="H20" s="81"/>
      <c r="I20" s="34"/>
      <c r="J20" s="35"/>
      <c r="K20" s="81"/>
      <c r="L20" s="116"/>
      <c r="M20" s="128"/>
    </row>
    <row r="21" spans="1:13" ht="35.1" customHeight="1" x14ac:dyDescent="0.25">
      <c r="A21" s="33">
        <v>4</v>
      </c>
      <c r="B21" s="36"/>
      <c r="C21" s="34">
        <v>244</v>
      </c>
      <c r="D21" s="81"/>
      <c r="E21" s="37"/>
      <c r="F21" s="81"/>
      <c r="G21" s="37"/>
      <c r="H21" s="81"/>
      <c r="I21" s="37"/>
      <c r="J21" s="35"/>
      <c r="K21" s="81"/>
      <c r="L21" s="116"/>
      <c r="M21" s="128"/>
    </row>
    <row r="22" spans="1:13" ht="35.1" customHeight="1" x14ac:dyDescent="0.25">
      <c r="A22" s="33">
        <v>5</v>
      </c>
      <c r="B22" s="32"/>
      <c r="C22" s="34">
        <v>244</v>
      </c>
      <c r="D22" s="81"/>
      <c r="E22" s="37"/>
      <c r="F22" s="81"/>
      <c r="G22" s="37"/>
      <c r="H22" s="81"/>
      <c r="I22" s="37"/>
      <c r="J22" s="35"/>
      <c r="K22" s="81"/>
      <c r="L22" s="116"/>
      <c r="M22" s="128"/>
    </row>
    <row r="23" spans="1:13" ht="35.1" customHeight="1" x14ac:dyDescent="0.25">
      <c r="A23" s="33">
        <v>6</v>
      </c>
      <c r="B23" s="39"/>
      <c r="C23" s="34">
        <v>244</v>
      </c>
      <c r="D23" s="81"/>
      <c r="E23" s="37"/>
      <c r="F23" s="81"/>
      <c r="G23" s="37"/>
      <c r="H23" s="81"/>
      <c r="I23" s="40"/>
      <c r="J23" s="35"/>
      <c r="K23" s="81"/>
      <c r="L23" s="116"/>
      <c r="M23" s="128"/>
    </row>
    <row r="24" spans="1:13" ht="35.1" customHeight="1" x14ac:dyDescent="0.25">
      <c r="A24" s="33">
        <v>7</v>
      </c>
      <c r="B24" s="32"/>
      <c r="C24" s="34">
        <v>244</v>
      </c>
      <c r="D24" s="81"/>
      <c r="E24" s="37"/>
      <c r="F24" s="81"/>
      <c r="G24" s="37"/>
      <c r="H24" s="81"/>
      <c r="I24" s="37"/>
      <c r="J24" s="35"/>
      <c r="K24" s="81"/>
      <c r="L24" s="116"/>
      <c r="M24" s="128"/>
    </row>
    <row r="25" spans="1:13" ht="35.1" customHeight="1" x14ac:dyDescent="0.25">
      <c r="A25" s="33">
        <v>8</v>
      </c>
      <c r="B25" s="34"/>
      <c r="C25" s="34">
        <v>244</v>
      </c>
      <c r="D25" s="81"/>
      <c r="E25" s="37"/>
      <c r="F25" s="81"/>
      <c r="G25" s="37"/>
      <c r="H25" s="81"/>
      <c r="I25" s="37"/>
      <c r="J25" s="35"/>
      <c r="K25" s="81"/>
      <c r="L25" s="116"/>
      <c r="M25" s="128"/>
    </row>
    <row r="26" spans="1:13" ht="35.1" customHeight="1" x14ac:dyDescent="0.25">
      <c r="A26" s="33">
        <v>9</v>
      </c>
      <c r="B26" s="32"/>
      <c r="C26" s="34">
        <v>244</v>
      </c>
      <c r="D26" s="81"/>
      <c r="E26" s="37"/>
      <c r="F26" s="81"/>
      <c r="G26" s="37"/>
      <c r="H26" s="81"/>
      <c r="I26" s="37"/>
      <c r="J26" s="35">
        <f>AVERAGE(C18:C26)</f>
        <v>244</v>
      </c>
      <c r="K26" s="81"/>
      <c r="L26" s="116"/>
      <c r="M26" s="128"/>
    </row>
    <row r="27" spans="1:13" ht="35.1" customHeight="1" x14ac:dyDescent="0.25">
      <c r="A27" s="33">
        <v>1</v>
      </c>
      <c r="B27" s="32" t="s">
        <v>37</v>
      </c>
      <c r="C27" s="34">
        <v>1634</v>
      </c>
      <c r="D27" s="81"/>
      <c r="E27" s="37"/>
      <c r="F27" s="81"/>
      <c r="G27" s="37"/>
      <c r="H27" s="81"/>
      <c r="I27" s="37"/>
      <c r="J27" s="35"/>
      <c r="K27" s="81"/>
      <c r="L27" s="116"/>
      <c r="M27" s="128"/>
    </row>
    <row r="28" spans="1:13" ht="35.1" customHeight="1" x14ac:dyDescent="0.25">
      <c r="A28" s="33">
        <v>2</v>
      </c>
      <c r="B28" s="36"/>
      <c r="C28" s="34">
        <v>1634</v>
      </c>
      <c r="D28" s="81"/>
      <c r="E28" s="37"/>
      <c r="F28" s="81"/>
      <c r="G28" s="37"/>
      <c r="H28" s="81"/>
      <c r="I28" s="37"/>
      <c r="J28" s="35"/>
      <c r="K28" s="81"/>
      <c r="L28" s="116"/>
      <c r="M28" s="128"/>
    </row>
    <row r="29" spans="1:13" ht="35.1" customHeight="1" x14ac:dyDescent="0.25">
      <c r="A29" s="33">
        <v>3</v>
      </c>
      <c r="B29" s="34"/>
      <c r="C29" s="34">
        <v>1634</v>
      </c>
      <c r="D29" s="81"/>
      <c r="E29" s="37"/>
      <c r="F29" s="81"/>
      <c r="G29" s="37"/>
      <c r="H29" s="81"/>
      <c r="I29" s="37"/>
      <c r="J29" s="35"/>
      <c r="K29" s="81"/>
      <c r="L29" s="116"/>
      <c r="M29" s="128"/>
    </row>
    <row r="30" spans="1:13" ht="35.1" customHeight="1" x14ac:dyDescent="0.25">
      <c r="A30" s="33">
        <v>4</v>
      </c>
      <c r="B30" s="34"/>
      <c r="C30" s="34">
        <v>1634</v>
      </c>
      <c r="D30" s="81"/>
      <c r="E30" s="37"/>
      <c r="F30" s="81"/>
      <c r="G30" s="37"/>
      <c r="H30" s="81"/>
      <c r="I30" s="37"/>
      <c r="J30" s="35"/>
      <c r="K30" s="81"/>
      <c r="L30" s="116"/>
      <c r="M30" s="128"/>
    </row>
    <row r="31" spans="1:13" ht="35.1" customHeight="1" x14ac:dyDescent="0.25">
      <c r="A31" s="33">
        <v>5</v>
      </c>
      <c r="B31" s="36"/>
      <c r="C31" s="34">
        <v>1634</v>
      </c>
      <c r="D31" s="81"/>
      <c r="E31" s="37"/>
      <c r="F31" s="81"/>
      <c r="G31" s="37"/>
      <c r="H31" s="81"/>
      <c r="I31" s="37"/>
      <c r="J31" s="35"/>
      <c r="K31" s="81"/>
      <c r="L31" s="116"/>
      <c r="M31" s="128"/>
    </row>
    <row r="32" spans="1:13" ht="35.1" customHeight="1" x14ac:dyDescent="0.25">
      <c r="A32" s="33">
        <v>6</v>
      </c>
      <c r="B32" s="34"/>
      <c r="C32" s="34">
        <v>1634</v>
      </c>
      <c r="D32" s="81"/>
      <c r="E32" s="37"/>
      <c r="F32" s="81"/>
      <c r="G32" s="37"/>
      <c r="H32" s="81"/>
      <c r="I32" s="37"/>
      <c r="J32" s="35"/>
      <c r="K32" s="81"/>
      <c r="L32" s="116"/>
      <c r="M32" s="128"/>
    </row>
    <row r="33" spans="1:13" ht="35.1" customHeight="1" x14ac:dyDescent="0.25">
      <c r="A33" s="33">
        <v>7</v>
      </c>
      <c r="B33" s="36"/>
      <c r="C33" s="34">
        <v>1634</v>
      </c>
      <c r="D33" s="81"/>
      <c r="E33" s="34"/>
      <c r="F33" s="81"/>
      <c r="G33" s="34"/>
      <c r="H33" s="81"/>
      <c r="I33" s="34"/>
      <c r="J33" s="35"/>
      <c r="K33" s="81"/>
      <c r="L33" s="116"/>
      <c r="M33" s="128"/>
    </row>
    <row r="34" spans="1:13" ht="35.1" customHeight="1" x14ac:dyDescent="0.25">
      <c r="A34" s="33">
        <v>8</v>
      </c>
      <c r="B34" s="34"/>
      <c r="C34" s="34">
        <v>1634</v>
      </c>
      <c r="D34" s="81"/>
      <c r="E34" s="34"/>
      <c r="F34" s="81"/>
      <c r="G34" s="34"/>
      <c r="H34" s="81"/>
      <c r="I34" s="34"/>
      <c r="J34" s="35"/>
      <c r="K34" s="81"/>
      <c r="L34" s="116"/>
      <c r="M34" s="128"/>
    </row>
    <row r="35" spans="1:13" ht="35.1" customHeight="1" x14ac:dyDescent="0.25">
      <c r="A35" s="33">
        <v>9</v>
      </c>
      <c r="B35" s="34"/>
      <c r="C35" s="34">
        <v>1634</v>
      </c>
      <c r="D35" s="81"/>
      <c r="E35" s="34"/>
      <c r="F35" s="81"/>
      <c r="G35" s="34"/>
      <c r="H35" s="81"/>
      <c r="I35" s="34"/>
      <c r="J35" s="35"/>
      <c r="K35" s="81"/>
      <c r="L35" s="116"/>
      <c r="M35" s="128"/>
    </row>
    <row r="36" spans="1:13" ht="35.1" customHeight="1" thickBot="1" x14ac:dyDescent="0.3">
      <c r="A36" s="76">
        <v>10</v>
      </c>
      <c r="B36" s="77"/>
      <c r="C36" s="77">
        <v>1634</v>
      </c>
      <c r="D36" s="82"/>
      <c r="E36" s="78"/>
      <c r="F36" s="82"/>
      <c r="G36" s="78"/>
      <c r="H36" s="82"/>
      <c r="I36" s="78"/>
      <c r="J36" s="79">
        <f>AVERAGE(C27:C36)</f>
        <v>1634</v>
      </c>
      <c r="K36" s="82"/>
      <c r="L36" s="118"/>
      <c r="M36" s="129"/>
    </row>
    <row r="37" spans="1:13" ht="18.75" customHeight="1" x14ac:dyDescent="0.25"/>
    <row r="38" spans="1:13" ht="18.75" customHeight="1" x14ac:dyDescent="0.25">
      <c r="A38" s="1" t="s">
        <v>19</v>
      </c>
    </row>
    <row r="39" spans="1:13" ht="18.75" customHeight="1" x14ac:dyDescent="0.25"/>
    <row r="40" spans="1:13" s="9" customFormat="1" ht="27" customHeight="1" x14ac:dyDescent="0.25">
      <c r="A40" s="60"/>
      <c r="B40" s="86" t="s">
        <v>27</v>
      </c>
      <c r="C40" s="86"/>
      <c r="K40" s="90" t="s">
        <v>28</v>
      </c>
      <c r="L40" s="90"/>
      <c r="M40" s="90"/>
    </row>
    <row r="41" spans="1:13" s="9" customFormat="1" ht="30" customHeight="1" x14ac:dyDescent="0.25">
      <c r="A41" s="60"/>
      <c r="B41" s="91"/>
      <c r="C41" s="91"/>
      <c r="K41" s="91"/>
      <c r="L41" s="91"/>
      <c r="M41" s="91"/>
    </row>
    <row r="42" spans="1:13" s="9" customFormat="1" ht="27" customHeight="1" x14ac:dyDescent="0.25">
      <c r="A42" s="60"/>
      <c r="B42" s="92"/>
      <c r="C42" s="92"/>
      <c r="K42" s="92"/>
      <c r="L42" s="92"/>
      <c r="M42" s="92"/>
    </row>
    <row r="43" spans="1:13" s="9" customFormat="1" ht="33.75" customHeight="1" x14ac:dyDescent="0.25">
      <c r="A43" s="60"/>
      <c r="B43" s="90" t="s">
        <v>50</v>
      </c>
      <c r="C43" s="90"/>
      <c r="K43" s="90" t="s">
        <v>61</v>
      </c>
      <c r="L43" s="90"/>
      <c r="M43" s="90"/>
    </row>
    <row r="44" spans="1:13" s="9" customFormat="1" ht="27" customHeight="1" x14ac:dyDescent="0.25">
      <c r="A44" s="60"/>
      <c r="B44" s="86" t="s">
        <v>56</v>
      </c>
      <c r="C44" s="86"/>
      <c r="K44" s="9" t="s">
        <v>60</v>
      </c>
    </row>
  </sheetData>
  <mergeCells count="50">
    <mergeCell ref="A1:B1"/>
    <mergeCell ref="C1:J1"/>
    <mergeCell ref="K1:L1"/>
    <mergeCell ref="C2:J2"/>
    <mergeCell ref="K2:L2"/>
    <mergeCell ref="C3:J3"/>
    <mergeCell ref="K3:L3"/>
    <mergeCell ref="A5:M5"/>
    <mergeCell ref="D7:E7"/>
    <mergeCell ref="F7:G7"/>
    <mergeCell ref="H7:I7"/>
    <mergeCell ref="L7:M8"/>
    <mergeCell ref="B43:C43"/>
    <mergeCell ref="K43:M43"/>
    <mergeCell ref="B44:C44"/>
    <mergeCell ref="B40:C40"/>
    <mergeCell ref="K40:M40"/>
    <mergeCell ref="B41:C41"/>
    <mergeCell ref="K41:M41"/>
    <mergeCell ref="B42:C42"/>
    <mergeCell ref="K42:M42"/>
    <mergeCell ref="L9:M9"/>
    <mergeCell ref="L10:M10"/>
    <mergeCell ref="L11:M11"/>
    <mergeCell ref="L12:M12"/>
    <mergeCell ref="L13:M13"/>
    <mergeCell ref="L21:M21"/>
    <mergeCell ref="L22:M22"/>
    <mergeCell ref="L23:M23"/>
    <mergeCell ref="L14:M14"/>
    <mergeCell ref="L15:M15"/>
    <mergeCell ref="L16:M16"/>
    <mergeCell ref="L17:M17"/>
    <mergeCell ref="L18:M18"/>
    <mergeCell ref="K7:K8"/>
    <mergeCell ref="L34:M34"/>
    <mergeCell ref="L35:M35"/>
    <mergeCell ref="L36:M36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L19:M19"/>
    <mergeCell ref="L20:M20"/>
  </mergeCells>
  <pageMargins left="0.7" right="0.7" top="0.75" bottom="0.75" header="0.3" footer="0.3"/>
  <pageSetup paperSize="9" scale="4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GRID  A-DET1</vt:lpstr>
      <vt:lpstr>GRID A-DET2</vt:lpstr>
      <vt:lpstr>GRID  A -DET1 BOLT TIGHT</vt:lpstr>
      <vt:lpstr>GRID  A -DET2 BOLT TIGHT </vt:lpstr>
      <vt:lpstr>'GRID  A -DET1 BOLT TIGHT'!Print_Area</vt:lpstr>
      <vt:lpstr>'GRID  A -DET2 BOLT TIGHT '!Print_Area</vt:lpstr>
      <vt:lpstr>'GRID A-DET2'!Print_Area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2026-02-26T00:08:31Z</dcterms:created>
  <dcterms:modified xsi:type="dcterms:W3CDTF">2026-02-26T00:10:41Z</dcterms:modified>
</cp:coreProperties>
</file>